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I\Icareer\"/>
    </mc:Choice>
  </mc:AlternateContent>
  <xr:revisionPtr revIDLastSave="0" documentId="13_ncr:1_{F01A9E70-8A70-41FF-AABA-9DD603BD68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 Records" sheetId="1" r:id="rId1"/>
    <sheet name="Pivot Tables" sheetId="2" r:id="rId2"/>
    <sheet name="Charts" sheetId="3" r:id="rId3"/>
  </sheet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1" i="1" l="1"/>
  <c r="S101" i="1"/>
  <c r="R101" i="1"/>
  <c r="P101" i="1"/>
  <c r="O101" i="1"/>
  <c r="T100" i="1"/>
  <c r="S100" i="1"/>
  <c r="R100" i="1"/>
  <c r="P100" i="1"/>
  <c r="O100" i="1"/>
  <c r="T99" i="1"/>
  <c r="S99" i="1"/>
  <c r="R99" i="1"/>
  <c r="P99" i="1"/>
  <c r="O99" i="1"/>
  <c r="T98" i="1"/>
  <c r="S98" i="1"/>
  <c r="R98" i="1"/>
  <c r="P98" i="1"/>
  <c r="O98" i="1"/>
  <c r="T97" i="1"/>
  <c r="S97" i="1"/>
  <c r="R97" i="1"/>
  <c r="P97" i="1"/>
  <c r="O97" i="1"/>
  <c r="T96" i="1"/>
  <c r="S96" i="1"/>
  <c r="R96" i="1"/>
  <c r="P96" i="1"/>
  <c r="O96" i="1"/>
  <c r="T95" i="1"/>
  <c r="S95" i="1"/>
  <c r="R95" i="1"/>
  <c r="P95" i="1"/>
  <c r="O95" i="1"/>
  <c r="T94" i="1"/>
  <c r="S94" i="1"/>
  <c r="R94" i="1"/>
  <c r="P94" i="1"/>
  <c r="O94" i="1"/>
  <c r="T93" i="1"/>
  <c r="S93" i="1"/>
  <c r="R93" i="1"/>
  <c r="P93" i="1"/>
  <c r="O93" i="1"/>
  <c r="T92" i="1"/>
  <c r="S92" i="1"/>
  <c r="R92" i="1"/>
  <c r="P92" i="1"/>
  <c r="O92" i="1"/>
  <c r="T91" i="1"/>
  <c r="S91" i="1"/>
  <c r="R91" i="1"/>
  <c r="P91" i="1"/>
  <c r="O91" i="1"/>
  <c r="T90" i="1"/>
  <c r="S90" i="1"/>
  <c r="R90" i="1"/>
  <c r="P90" i="1"/>
  <c r="O90" i="1"/>
  <c r="T89" i="1"/>
  <c r="S89" i="1"/>
  <c r="R89" i="1"/>
  <c r="P89" i="1"/>
  <c r="O89" i="1"/>
  <c r="T88" i="1"/>
  <c r="S88" i="1"/>
  <c r="R88" i="1"/>
  <c r="P88" i="1"/>
  <c r="O88" i="1"/>
  <c r="T87" i="1"/>
  <c r="S87" i="1"/>
  <c r="R87" i="1"/>
  <c r="P87" i="1"/>
  <c r="O87" i="1"/>
  <c r="T86" i="1"/>
  <c r="S86" i="1"/>
  <c r="R86" i="1"/>
  <c r="P86" i="1"/>
  <c r="O86" i="1"/>
  <c r="T85" i="1"/>
  <c r="S85" i="1"/>
  <c r="R85" i="1"/>
  <c r="P85" i="1"/>
  <c r="O85" i="1"/>
  <c r="T84" i="1"/>
  <c r="S84" i="1"/>
  <c r="R84" i="1"/>
  <c r="P84" i="1"/>
  <c r="O84" i="1"/>
  <c r="T83" i="1"/>
  <c r="S83" i="1"/>
  <c r="R83" i="1"/>
  <c r="P83" i="1"/>
  <c r="O83" i="1"/>
  <c r="T82" i="1"/>
  <c r="S82" i="1"/>
  <c r="R82" i="1"/>
  <c r="P82" i="1"/>
  <c r="O82" i="1"/>
  <c r="T81" i="1"/>
  <c r="S81" i="1"/>
  <c r="R81" i="1"/>
  <c r="P81" i="1"/>
  <c r="O81" i="1"/>
  <c r="T80" i="1"/>
  <c r="S80" i="1"/>
  <c r="R80" i="1"/>
  <c r="P80" i="1"/>
  <c r="O80" i="1"/>
  <c r="T79" i="1"/>
  <c r="S79" i="1"/>
  <c r="R79" i="1"/>
  <c r="P79" i="1"/>
  <c r="O79" i="1"/>
  <c r="T78" i="1"/>
  <c r="S78" i="1"/>
  <c r="R78" i="1"/>
  <c r="P78" i="1"/>
  <c r="O78" i="1"/>
  <c r="T77" i="1"/>
  <c r="S77" i="1"/>
  <c r="R77" i="1"/>
  <c r="P77" i="1"/>
  <c r="O77" i="1"/>
  <c r="T76" i="1"/>
  <c r="S76" i="1"/>
  <c r="R76" i="1"/>
  <c r="P76" i="1"/>
  <c r="O76" i="1"/>
  <c r="T75" i="1"/>
  <c r="S75" i="1"/>
  <c r="R75" i="1"/>
  <c r="P75" i="1"/>
  <c r="O75" i="1"/>
  <c r="T74" i="1"/>
  <c r="S74" i="1"/>
  <c r="R74" i="1"/>
  <c r="P74" i="1"/>
  <c r="O74" i="1"/>
  <c r="T73" i="1"/>
  <c r="S73" i="1"/>
  <c r="R73" i="1"/>
  <c r="P73" i="1"/>
  <c r="O73" i="1"/>
  <c r="T72" i="1"/>
  <c r="S72" i="1"/>
  <c r="R72" i="1"/>
  <c r="P72" i="1"/>
  <c r="O72" i="1"/>
  <c r="T71" i="1"/>
  <c r="S71" i="1"/>
  <c r="R71" i="1"/>
  <c r="P71" i="1"/>
  <c r="O71" i="1"/>
  <c r="T70" i="1"/>
  <c r="S70" i="1"/>
  <c r="R70" i="1"/>
  <c r="P70" i="1"/>
  <c r="O70" i="1"/>
  <c r="T69" i="1"/>
  <c r="S69" i="1"/>
  <c r="R69" i="1"/>
  <c r="P69" i="1"/>
  <c r="O69" i="1"/>
  <c r="T68" i="1"/>
  <c r="S68" i="1"/>
  <c r="R68" i="1"/>
  <c r="P68" i="1"/>
  <c r="O68" i="1"/>
  <c r="T67" i="1"/>
  <c r="S67" i="1"/>
  <c r="R67" i="1"/>
  <c r="P67" i="1"/>
  <c r="O67" i="1"/>
  <c r="T66" i="1"/>
  <c r="S66" i="1"/>
  <c r="R66" i="1"/>
  <c r="P66" i="1"/>
  <c r="O66" i="1"/>
  <c r="T65" i="1"/>
  <c r="S65" i="1"/>
  <c r="R65" i="1"/>
  <c r="P65" i="1"/>
  <c r="O65" i="1"/>
  <c r="T64" i="1"/>
  <c r="S64" i="1"/>
  <c r="R64" i="1"/>
  <c r="P64" i="1"/>
  <c r="O64" i="1"/>
  <c r="T63" i="1"/>
  <c r="S63" i="1"/>
  <c r="R63" i="1"/>
  <c r="P63" i="1"/>
  <c r="O63" i="1"/>
  <c r="T62" i="1"/>
  <c r="S62" i="1"/>
  <c r="R62" i="1"/>
  <c r="P62" i="1"/>
  <c r="O62" i="1"/>
  <c r="T61" i="1"/>
  <c r="S61" i="1"/>
  <c r="R61" i="1"/>
  <c r="P61" i="1"/>
  <c r="O61" i="1"/>
  <c r="T60" i="1"/>
  <c r="S60" i="1"/>
  <c r="R60" i="1"/>
  <c r="P60" i="1"/>
  <c r="O60" i="1"/>
  <c r="T59" i="1"/>
  <c r="S59" i="1"/>
  <c r="R59" i="1"/>
  <c r="P59" i="1"/>
  <c r="O59" i="1"/>
  <c r="T58" i="1"/>
  <c r="S58" i="1"/>
  <c r="R58" i="1"/>
  <c r="P58" i="1"/>
  <c r="O58" i="1"/>
  <c r="T57" i="1"/>
  <c r="S57" i="1"/>
  <c r="R57" i="1"/>
  <c r="P57" i="1"/>
  <c r="O57" i="1"/>
  <c r="T56" i="1"/>
  <c r="S56" i="1"/>
  <c r="R56" i="1"/>
  <c r="P56" i="1"/>
  <c r="O56" i="1"/>
  <c r="T55" i="1"/>
  <c r="S55" i="1"/>
  <c r="R55" i="1"/>
  <c r="P55" i="1"/>
  <c r="O55" i="1"/>
  <c r="T54" i="1"/>
  <c r="S54" i="1"/>
  <c r="R54" i="1"/>
  <c r="P54" i="1"/>
  <c r="O54" i="1"/>
  <c r="T53" i="1"/>
  <c r="S53" i="1"/>
  <c r="R53" i="1"/>
  <c r="P53" i="1"/>
  <c r="O53" i="1"/>
  <c r="T52" i="1"/>
  <c r="S52" i="1"/>
  <c r="R52" i="1"/>
  <c r="P52" i="1"/>
  <c r="O52" i="1"/>
  <c r="T51" i="1"/>
  <c r="S51" i="1"/>
  <c r="R51" i="1"/>
  <c r="P51" i="1"/>
  <c r="O51" i="1"/>
  <c r="T50" i="1"/>
  <c r="S50" i="1"/>
  <c r="R50" i="1"/>
  <c r="P50" i="1"/>
  <c r="O50" i="1"/>
  <c r="T49" i="1"/>
  <c r="S49" i="1"/>
  <c r="R49" i="1"/>
  <c r="P49" i="1"/>
  <c r="O49" i="1"/>
  <c r="T48" i="1"/>
  <c r="S48" i="1"/>
  <c r="R48" i="1"/>
  <c r="P48" i="1"/>
  <c r="O48" i="1"/>
  <c r="T47" i="1"/>
  <c r="S47" i="1"/>
  <c r="R47" i="1"/>
  <c r="P47" i="1"/>
  <c r="O47" i="1"/>
  <c r="T46" i="1"/>
  <c r="S46" i="1"/>
  <c r="R46" i="1"/>
  <c r="P46" i="1"/>
  <c r="O46" i="1"/>
  <c r="T45" i="1"/>
  <c r="S45" i="1"/>
  <c r="R45" i="1"/>
  <c r="P45" i="1"/>
  <c r="O45" i="1"/>
  <c r="T44" i="1"/>
  <c r="S44" i="1"/>
  <c r="R44" i="1"/>
  <c r="P44" i="1"/>
  <c r="O44" i="1"/>
  <c r="T43" i="1"/>
  <c r="S43" i="1"/>
  <c r="R43" i="1"/>
  <c r="P43" i="1"/>
  <c r="O43" i="1"/>
  <c r="T42" i="1"/>
  <c r="S42" i="1"/>
  <c r="R42" i="1"/>
  <c r="P42" i="1"/>
  <c r="O42" i="1"/>
  <c r="T41" i="1"/>
  <c r="S41" i="1"/>
  <c r="R41" i="1"/>
  <c r="P41" i="1"/>
  <c r="O41" i="1"/>
  <c r="T40" i="1"/>
  <c r="S40" i="1"/>
  <c r="R40" i="1"/>
  <c r="P40" i="1"/>
  <c r="O40" i="1"/>
  <c r="T39" i="1"/>
  <c r="S39" i="1"/>
  <c r="R39" i="1"/>
  <c r="P39" i="1"/>
  <c r="O39" i="1"/>
  <c r="T38" i="1"/>
  <c r="S38" i="1"/>
  <c r="R38" i="1"/>
  <c r="P38" i="1"/>
  <c r="O38" i="1"/>
  <c r="T37" i="1"/>
  <c r="S37" i="1"/>
  <c r="R37" i="1"/>
  <c r="P37" i="1"/>
  <c r="O37" i="1"/>
  <c r="T36" i="1"/>
  <c r="S36" i="1"/>
  <c r="R36" i="1"/>
  <c r="P36" i="1"/>
  <c r="O36" i="1"/>
  <c r="T35" i="1"/>
  <c r="S35" i="1"/>
  <c r="R35" i="1"/>
  <c r="P35" i="1"/>
  <c r="O35" i="1"/>
  <c r="T34" i="1"/>
  <c r="S34" i="1"/>
  <c r="R34" i="1"/>
  <c r="P34" i="1"/>
  <c r="O34" i="1"/>
  <c r="T33" i="1"/>
  <c r="S33" i="1"/>
  <c r="R33" i="1"/>
  <c r="P33" i="1"/>
  <c r="O33" i="1"/>
  <c r="T32" i="1"/>
  <c r="S32" i="1"/>
  <c r="R32" i="1"/>
  <c r="P32" i="1"/>
  <c r="O32" i="1"/>
  <c r="T31" i="1"/>
  <c r="S31" i="1"/>
  <c r="R31" i="1"/>
  <c r="P31" i="1"/>
  <c r="O31" i="1"/>
  <c r="T30" i="1"/>
  <c r="S30" i="1"/>
  <c r="R30" i="1"/>
  <c r="P30" i="1"/>
  <c r="O30" i="1"/>
  <c r="T29" i="1"/>
  <c r="S29" i="1"/>
  <c r="R29" i="1"/>
  <c r="P29" i="1"/>
  <c r="O29" i="1"/>
  <c r="T28" i="1"/>
  <c r="S28" i="1"/>
  <c r="R28" i="1"/>
  <c r="P28" i="1"/>
  <c r="O28" i="1"/>
  <c r="T27" i="1"/>
  <c r="S27" i="1"/>
  <c r="R27" i="1"/>
  <c r="P27" i="1"/>
  <c r="O27" i="1"/>
  <c r="T26" i="1"/>
  <c r="S26" i="1"/>
  <c r="R26" i="1"/>
  <c r="P26" i="1"/>
  <c r="O26" i="1"/>
  <c r="T25" i="1"/>
  <c r="S25" i="1"/>
  <c r="R25" i="1"/>
  <c r="P25" i="1"/>
  <c r="O25" i="1"/>
  <c r="T24" i="1"/>
  <c r="S24" i="1"/>
  <c r="R24" i="1"/>
  <c r="P24" i="1"/>
  <c r="O24" i="1"/>
  <c r="T23" i="1"/>
  <c r="S23" i="1"/>
  <c r="R23" i="1"/>
  <c r="P23" i="1"/>
  <c r="O23" i="1"/>
  <c r="T22" i="1"/>
  <c r="S22" i="1"/>
  <c r="R22" i="1"/>
  <c r="P22" i="1"/>
  <c r="O22" i="1"/>
  <c r="T21" i="1"/>
  <c r="S21" i="1"/>
  <c r="R21" i="1"/>
  <c r="P21" i="1"/>
  <c r="O21" i="1"/>
  <c r="T20" i="1"/>
  <c r="S20" i="1"/>
  <c r="R20" i="1"/>
  <c r="P20" i="1"/>
  <c r="O20" i="1"/>
  <c r="T19" i="1"/>
  <c r="S19" i="1"/>
  <c r="R19" i="1"/>
  <c r="P19" i="1"/>
  <c r="O19" i="1"/>
  <c r="T18" i="1"/>
  <c r="S18" i="1"/>
  <c r="R18" i="1"/>
  <c r="P18" i="1"/>
  <c r="O18" i="1"/>
  <c r="T17" i="1"/>
  <c r="S17" i="1"/>
  <c r="R17" i="1"/>
  <c r="P17" i="1"/>
  <c r="O17" i="1"/>
  <c r="T16" i="1"/>
  <c r="S16" i="1"/>
  <c r="R16" i="1"/>
  <c r="P16" i="1"/>
  <c r="O16" i="1"/>
  <c r="T15" i="1"/>
  <c r="S15" i="1"/>
  <c r="R15" i="1"/>
  <c r="P15" i="1"/>
  <c r="O15" i="1"/>
  <c r="T14" i="1"/>
  <c r="S14" i="1"/>
  <c r="R14" i="1"/>
  <c r="P14" i="1"/>
  <c r="O14" i="1"/>
  <c r="T13" i="1"/>
  <c r="S13" i="1"/>
  <c r="R13" i="1"/>
  <c r="P13" i="1"/>
  <c r="O13" i="1"/>
  <c r="T12" i="1"/>
  <c r="S12" i="1"/>
  <c r="R12" i="1"/>
  <c r="P12" i="1"/>
  <c r="O12" i="1"/>
  <c r="T11" i="1"/>
  <c r="S11" i="1"/>
  <c r="R11" i="1"/>
  <c r="P11" i="1"/>
  <c r="O11" i="1"/>
  <c r="T10" i="1"/>
  <c r="S10" i="1"/>
  <c r="R10" i="1"/>
  <c r="P10" i="1"/>
  <c r="O10" i="1"/>
  <c r="T9" i="1"/>
  <c r="S9" i="1"/>
  <c r="R9" i="1"/>
  <c r="P9" i="1"/>
  <c r="O9" i="1"/>
  <c r="T8" i="1"/>
  <c r="S8" i="1"/>
  <c r="R8" i="1"/>
  <c r="P8" i="1"/>
  <c r="O8" i="1"/>
  <c r="T7" i="1"/>
  <c r="S7" i="1"/>
  <c r="R7" i="1"/>
  <c r="P7" i="1"/>
  <c r="O7" i="1"/>
  <c r="T6" i="1"/>
  <c r="S6" i="1"/>
  <c r="R6" i="1"/>
  <c r="P6" i="1"/>
  <c r="O6" i="1"/>
  <c r="T5" i="1"/>
  <c r="S5" i="1"/>
  <c r="R5" i="1"/>
  <c r="P5" i="1"/>
  <c r="O5" i="1"/>
  <c r="T4" i="1"/>
  <c r="S4" i="1"/>
  <c r="R4" i="1"/>
  <c r="P4" i="1"/>
  <c r="O4" i="1"/>
  <c r="T3" i="1"/>
  <c r="S3" i="1"/>
  <c r="R3" i="1"/>
  <c r="P3" i="1"/>
  <c r="O3" i="1"/>
  <c r="T2" i="1"/>
  <c r="S2" i="1"/>
  <c r="R2" i="1"/>
  <c r="P2" i="1"/>
  <c r="O2" i="1"/>
</calcChain>
</file>

<file path=xl/sharedStrings.xml><?xml version="1.0" encoding="utf-8"?>
<sst xmlns="http://schemas.openxmlformats.org/spreadsheetml/2006/main" count="708" uniqueCount="183">
  <si>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</si>
  <si>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</si>
  <si>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</si>
  <si>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</si>
  <si>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</si>
  <si>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</si>
  <si>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</si>
  <si>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</si>
  <si>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</si>
  <si>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</si>
  <si>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</si>
  <si>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</si>
  <si>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</si>
  <si>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</si>
  <si>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Month</t>
  </si>
  <si>
    <t>Year</t>
  </si>
  <si>
    <t>Category</t>
  </si>
  <si>
    <t>Total Revenue in Europe</t>
  </si>
  <si>
    <t>Average Total Revenue</t>
  </si>
  <si>
    <t>Numbers of orders above 1.500.000</t>
  </si>
  <si>
    <t>Australia and Oceania</t>
  </si>
  <si>
    <t>Tuvalu</t>
  </si>
  <si>
    <t>Baby Food</t>
  </si>
  <si>
    <t>Offline</t>
  </si>
  <si>
    <t>H</t>
  </si>
  <si>
    <t>Central America and the Caribbean</t>
  </si>
  <si>
    <t>Grenada</t>
  </si>
  <si>
    <t>Cereal</t>
  </si>
  <si>
    <t>Online</t>
  </si>
  <si>
    <t>C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</si>
  <si>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</si>
  <si>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</si>
  <si>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</si>
  <si>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</si>
  <si>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</si>
  <si>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</si>
  <si>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</si>
  <si>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Rwanda</t>
  </si>
  <si>
    <t>Solomon Islands</t>
  </si>
  <si>
    <t>Angola</t>
  </si>
  <si>
    <t>Household</t>
  </si>
  <si>
    <t>M</t>
  </si>
  <si>
    <t>Burkina Faso</t>
  </si>
  <si>
    <t>Vegetables</t>
  </si>
  <si>
    <t>Republic of the Congo</t>
  </si>
  <si>
    <t>Personal Care</t>
  </si>
  <si>
    <t>Senegal</t>
  </si>
  <si>
    <t>Asia</t>
  </si>
  <si>
    <t>Kyrgyzstan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</si>
  <si>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</si>
  <si>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</si>
  <si>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</si>
  <si>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</si>
  <si>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</si>
  <si>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</si>
  <si>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</si>
  <si>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</si>
  <si>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</si>
  <si>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</si>
  <si>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Turkmenistan</t>
  </si>
  <si>
    <t>East Timor</t>
  </si>
  <si>
    <t>Meat</t>
  </si>
  <si>
    <t>Norway</t>
  </si>
  <si>
    <t>Portugal</t>
  </si>
  <si>
    <t>Snacks</t>
  </si>
  <si>
    <t>New Zealand</t>
  </si>
  <si>
    <t>Moldova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</si>
  <si>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</si>
  <si>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</si>
  <si>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</si>
  <si>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</si>
  <si>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</si>
  <si>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</si>
  <si>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</si>
  <si>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</si>
  <si>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</si>
  <si>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</si>
  <si>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Middle East and North Africa</t>
  </si>
  <si>
    <t>Syria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</si>
  <si>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</si>
  <si>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</si>
  <si>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</si>
  <si>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</si>
  <si>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</si>
  <si>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</si>
  <si>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</si>
  <si>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</si>
  <si>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</si>
  <si>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</si>
  <si>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</si>
  <si>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</si>
  <si>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</si>
  <si>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</si>
  <si>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</si>
  <si>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</si>
  <si>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</si>
  <si>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</si>
  <si>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</si>
  <si>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</si>
  <si>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</si>
  <si>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</si>
  <si>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</si>
  <si>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</si>
  <si>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</si>
  <si>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North America</t>
  </si>
  <si>
    <t>Mexico</t>
  </si>
  <si>
    <t>Federated States of Micronesia</t>
  </si>
  <si>
    <t>Laos</t>
  </si>
  <si>
    <t>Monaco</t>
  </si>
  <si>
    <t>Samoa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</si>
  <si>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</si>
  <si>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</si>
  <si>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</si>
  <si>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</si>
  <si>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</si>
  <si>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</si>
  <si>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</si>
  <si>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</si>
  <si>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</si>
  <si>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</si>
  <si>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</si>
  <si>
    <t>SUM of Total Revenue</t>
  </si>
  <si>
    <t>2010-02</t>
  </si>
  <si>
    <t>2010-05</t>
  </si>
  <si>
    <t>2010-06</t>
  </si>
  <si>
    <t>2010-10</t>
  </si>
  <si>
    <t>2010-11</t>
  </si>
  <si>
    <t>2010-12</t>
  </si>
  <si>
    <t>2011-01</t>
  </si>
  <si>
    <t>Grand Total</t>
  </si>
  <si>
    <t>2011-02</t>
  </si>
  <si>
    <t>2011-04</t>
  </si>
  <si>
    <t>2011-05</t>
  </si>
  <si>
    <t>2011-06</t>
  </si>
  <si>
    <t>2011-07</t>
  </si>
  <si>
    <t>2011-09</t>
  </si>
  <si>
    <t>2011-11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</si>
  <si>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</si>
  <si>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</si>
  <si>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</si>
  <si>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</si>
  <si>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</si>
  <si>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</si>
  <si>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</si>
  <si>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</si>
  <si>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</si>
  <si>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</si>
  <si>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2013-02</t>
  </si>
  <si>
    <t>2013-03</t>
  </si>
  <si>
    <t>2013-04</t>
  </si>
  <si>
    <t>2013-06</t>
  </si>
  <si>
    <t>2013-07</t>
  </si>
  <si>
    <t>2013-08</t>
  </si>
  <si>
    <t>2013-09</t>
  </si>
  <si>
    <t>2013-10</t>
  </si>
  <si>
    <t>2013-12</t>
  </si>
  <si>
    <t>2014-02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</si>
  <si>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</si>
  <si>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</si>
  <si>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</si>
  <si>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</si>
  <si>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</si>
  <si>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</si>
  <si>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</si>
  <si>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</si>
  <si>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2015-01</t>
  </si>
  <si>
    <t>2015-02</t>
  </si>
  <si>
    <t>2015-04</t>
  </si>
  <si>
    <t>2015-07</t>
  </si>
  <si>
    <t>2015-08</t>
  </si>
  <si>
    <t>2015-10</t>
  </si>
  <si>
    <t>2015-11</t>
  </si>
  <si>
    <t>2016-03</t>
  </si>
  <si>
    <t>2016-05</t>
  </si>
  <si>
    <t>2016-06</t>
  </si>
  <si>
    <t>2016-07</t>
  </si>
  <si>
    <t>2016-10</t>
  </si>
  <si>
    <t>2016-11</t>
  </si>
  <si>
    <t>2016-12</t>
  </si>
  <si>
    <t>2017-01</t>
  </si>
  <si>
    <t>2017-02</t>
  </si>
  <si>
    <t>2017-03</t>
  </si>
  <si>
    <t>2017-05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</si>
</sst>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Arial black"/>
              </a:defRPr>
            </a:pPr>
            <a:r>
              <a:rPr lang="en-GB" b="0">
                <a:solidFill>
                  <a:schemeClr val="dk1"/>
                </a:solidFill>
                <a:latin typeface="Arial black"/>
              </a:rPr>
              <a:t>Sales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Tables'!$A$2:$A$8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'Pivot Tables'!$B$2:$B$8</c:f>
              <c:numCache>
                <c:formatCode>General</c:formatCode>
                <c:ptCount val="7"/>
                <c:pt idx="0">
                  <c:v>21347091.020000003</c:v>
                </c:pt>
                <c:pt idx="1">
                  <c:v>14094265.130000003</c:v>
                </c:pt>
                <c:pt idx="2">
                  <c:v>9170385.4900000002</c:v>
                </c:pt>
                <c:pt idx="3">
                  <c:v>33368932.109999999</c:v>
                </c:pt>
                <c:pt idx="4">
                  <c:v>14052706.58</c:v>
                </c:pt>
                <c:pt idx="5">
                  <c:v>5643356.5500000007</c:v>
                </c:pt>
                <c:pt idx="6">
                  <c:v>39672031.430000007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FD-4BD4-9239-B19513431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945762"/>
        <c:axId val="317567118"/>
      </c:barChart>
      <c:catAx>
        <c:axId val="190945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7567118"/>
        <c:crosses val="autoZero"/>
        <c:auto val="1"/>
        <c:lblAlgn val="ctr"/>
        <c:lblOffset val="100"/>
        <c:noMultiLvlLbl val="1"/>
      </c:catAx>
      <c:valAx>
        <c:axId val="317567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94576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Arial black"/>
              </a:defRPr>
            </a:pPr>
            <a:r>
              <a:rPr lang="en-GB" b="0">
                <a:solidFill>
                  <a:schemeClr val="dk1"/>
                </a:solidFill>
                <a:latin typeface="Arial black"/>
              </a:rPr>
              <a:t>Monthly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Tables'!$D$1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>Trendline for SUM of Total Revenue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'Pivot Tables'!$C$2:$C$61</c:f>
              <c:strCache>
                <c:ptCount val="60"/>
                <c:pt idx="0">
                  <c:v>2010-02</c:v>
                </c:pt>
                <c:pt idx="1">
                  <c:v>2010-05</c:v>
                </c:pt>
                <c:pt idx="2">
                  <c:v>2010-06</c:v>
                </c:pt>
                <c:pt idx="3">
                  <c:v>2010-10</c:v>
                </c:pt>
                <c:pt idx="4">
                  <c:v>2010-11</c:v>
                </c:pt>
                <c:pt idx="5">
                  <c:v>2010-12</c:v>
                </c:pt>
                <c:pt idx="6">
                  <c:v>2011-01</c:v>
                </c:pt>
                <c:pt idx="7">
                  <c:v>2011-02</c:v>
                </c:pt>
                <c:pt idx="8">
                  <c:v>2011-04</c:v>
                </c:pt>
                <c:pt idx="9">
                  <c:v>2011-05</c:v>
                </c:pt>
                <c:pt idx="10">
                  <c:v>2011-06</c:v>
                </c:pt>
                <c:pt idx="11">
                  <c:v>2011-07</c:v>
                </c:pt>
                <c:pt idx="12">
                  <c:v>2011-09</c:v>
                </c:pt>
                <c:pt idx="13">
                  <c:v>2011-11</c:v>
                </c:pt>
                <c:pt idx="14">
                  <c:v>2012-01</c:v>
                </c:pt>
                <c:pt idx="15">
                  <c:v>2012-02</c:v>
                </c:pt>
                <c:pt idx="16">
                  <c:v>2012-03</c:v>
                </c:pt>
                <c:pt idx="17">
                  <c:v>2012-04</c:v>
                </c:pt>
                <c:pt idx="18">
                  <c:v>2012-05</c:v>
                </c:pt>
                <c:pt idx="19">
                  <c:v>2012-06</c:v>
                </c:pt>
                <c:pt idx="20">
                  <c:v>2012-07</c:v>
                </c:pt>
                <c:pt idx="21">
                  <c:v>2012-08</c:v>
                </c:pt>
                <c:pt idx="22">
                  <c:v>2012-09</c:v>
                </c:pt>
                <c:pt idx="23">
                  <c:v>2012-10</c:v>
                </c:pt>
                <c:pt idx="24">
                  <c:v>2013-02</c:v>
                </c:pt>
                <c:pt idx="25">
                  <c:v>2013-03</c:v>
                </c:pt>
                <c:pt idx="26">
                  <c:v>2013-04</c:v>
                </c:pt>
                <c:pt idx="27">
                  <c:v>2013-06</c:v>
                </c:pt>
                <c:pt idx="28">
                  <c:v>2013-07</c:v>
                </c:pt>
                <c:pt idx="29">
                  <c:v>2013-08</c:v>
                </c:pt>
                <c:pt idx="30">
                  <c:v>2013-09</c:v>
                </c:pt>
                <c:pt idx="31">
                  <c:v>2013-10</c:v>
                </c:pt>
                <c:pt idx="32">
                  <c:v>2013-12</c:v>
                </c:pt>
                <c:pt idx="33">
                  <c:v>2014-02</c:v>
                </c:pt>
                <c:pt idx="34">
                  <c:v>2014-04</c:v>
                </c:pt>
                <c:pt idx="35">
                  <c:v>2014-05</c:v>
                </c:pt>
                <c:pt idx="36">
                  <c:v>2014-06</c:v>
                </c:pt>
                <c:pt idx="37">
                  <c:v>2014-07</c:v>
                </c:pt>
                <c:pt idx="38">
                  <c:v>2014-08</c:v>
                </c:pt>
                <c:pt idx="39">
                  <c:v>2014-09</c:v>
                </c:pt>
                <c:pt idx="40">
                  <c:v>2014-10</c:v>
                </c:pt>
                <c:pt idx="41">
                  <c:v>2014-11</c:v>
                </c:pt>
                <c:pt idx="42">
                  <c:v>2015-01</c:v>
                </c:pt>
                <c:pt idx="43">
                  <c:v>2015-02</c:v>
                </c:pt>
                <c:pt idx="44">
                  <c:v>2015-04</c:v>
                </c:pt>
                <c:pt idx="45">
                  <c:v>2015-07</c:v>
                </c:pt>
                <c:pt idx="46">
                  <c:v>2015-08</c:v>
                </c:pt>
                <c:pt idx="47">
                  <c:v>2015-10</c:v>
                </c:pt>
                <c:pt idx="48">
                  <c:v>2015-11</c:v>
                </c:pt>
                <c:pt idx="49">
                  <c:v>2016-03</c:v>
                </c:pt>
                <c:pt idx="50">
                  <c:v>2016-05</c:v>
                </c:pt>
                <c:pt idx="51">
                  <c:v>2016-06</c:v>
                </c:pt>
                <c:pt idx="52">
                  <c:v>2016-07</c:v>
                </c:pt>
                <c:pt idx="53">
                  <c:v>2016-10</c:v>
                </c:pt>
                <c:pt idx="54">
                  <c:v>2016-11</c:v>
                </c:pt>
                <c:pt idx="55">
                  <c:v>2016-12</c:v>
                </c:pt>
                <c:pt idx="56">
                  <c:v>2017-01</c:v>
                </c:pt>
                <c:pt idx="57">
                  <c:v>2017-02</c:v>
                </c:pt>
                <c:pt idx="58">
                  <c:v>2017-03</c:v>
                </c:pt>
                <c:pt idx="59">
                  <c:v>2017-05</c:v>
                </c:pt>
              </c:strCache>
            </c:strRef>
          </c:cat>
          <c:val>
            <c:numRef>
              <c:f>'Pivot Tables'!$D$2:$D$61</c:f>
              <c:numCache>
                <c:formatCode>General</c:formatCode>
                <c:ptCount val="60"/>
                <c:pt idx="0">
                  <c:v>3410661.1199999996</c:v>
                </c:pt>
                <c:pt idx="1">
                  <c:v>2587973.2599999998</c:v>
                </c:pt>
                <c:pt idx="2">
                  <c:v>1082418.3999999999</c:v>
                </c:pt>
                <c:pt idx="3">
                  <c:v>6064933.75</c:v>
                </c:pt>
                <c:pt idx="4">
                  <c:v>3458252</c:v>
                </c:pt>
                <c:pt idx="5">
                  <c:v>2581786.39</c:v>
                </c:pt>
                <c:pt idx="6">
                  <c:v>1042225.3500000001</c:v>
                </c:pt>
                <c:pt idx="7">
                  <c:v>387002.2</c:v>
                </c:pt>
                <c:pt idx="8">
                  <c:v>2798046.49</c:v>
                </c:pt>
                <c:pt idx="9">
                  <c:v>272410.45</c:v>
                </c:pt>
                <c:pt idx="10">
                  <c:v>19103.439999999999</c:v>
                </c:pt>
                <c:pt idx="11">
                  <c:v>97040.639999999999</c:v>
                </c:pt>
                <c:pt idx="12">
                  <c:v>574951.92000000004</c:v>
                </c:pt>
                <c:pt idx="13">
                  <c:v>5938385.580000001</c:v>
                </c:pt>
                <c:pt idx="14">
                  <c:v>1012884</c:v>
                </c:pt>
                <c:pt idx="15">
                  <c:v>6707849.4199999999</c:v>
                </c:pt>
                <c:pt idx="16">
                  <c:v>994765.42</c:v>
                </c:pt>
                <c:pt idx="17">
                  <c:v>4556012.38</c:v>
                </c:pt>
                <c:pt idx="18">
                  <c:v>3782781.82</c:v>
                </c:pt>
                <c:pt idx="19">
                  <c:v>2132075.27</c:v>
                </c:pt>
                <c:pt idx="20">
                  <c:v>4445093.92</c:v>
                </c:pt>
                <c:pt idx="21">
                  <c:v>576782.80000000005</c:v>
                </c:pt>
                <c:pt idx="22">
                  <c:v>4648152.7200000007</c:v>
                </c:pt>
                <c:pt idx="23">
                  <c:v>3042246.7699999996</c:v>
                </c:pt>
                <c:pt idx="24">
                  <c:v>3296425.02</c:v>
                </c:pt>
                <c:pt idx="25">
                  <c:v>835759.1</c:v>
                </c:pt>
                <c:pt idx="26">
                  <c:v>3262562.1</c:v>
                </c:pt>
                <c:pt idx="27">
                  <c:v>1352867.4</c:v>
                </c:pt>
                <c:pt idx="28">
                  <c:v>8545511.1999999993</c:v>
                </c:pt>
                <c:pt idx="29">
                  <c:v>89623.98</c:v>
                </c:pt>
                <c:pt idx="30">
                  <c:v>71253.210000000006</c:v>
                </c:pt>
                <c:pt idx="31">
                  <c:v>2702770.4</c:v>
                </c:pt>
                <c:pt idx="32">
                  <c:v>173676.25</c:v>
                </c:pt>
                <c:pt idx="33">
                  <c:v>1819660.25</c:v>
                </c:pt>
                <c:pt idx="34">
                  <c:v>4510578.0999999996</c:v>
                </c:pt>
                <c:pt idx="35">
                  <c:v>3060338.59</c:v>
                </c:pt>
                <c:pt idx="36">
                  <c:v>75591.66</c:v>
                </c:pt>
                <c:pt idx="37">
                  <c:v>688641.85</c:v>
                </c:pt>
                <c:pt idx="38">
                  <c:v>455479.03999999998</c:v>
                </c:pt>
                <c:pt idx="39">
                  <c:v>20404.71</c:v>
                </c:pt>
                <c:pt idx="40">
                  <c:v>1352370.65</c:v>
                </c:pt>
                <c:pt idx="41">
                  <c:v>4647149.58</c:v>
                </c:pt>
                <c:pt idx="42">
                  <c:v>5513227.5</c:v>
                </c:pt>
                <c:pt idx="43">
                  <c:v>2003911.1199999999</c:v>
                </c:pt>
                <c:pt idx="44">
                  <c:v>1059987.26</c:v>
                </c:pt>
                <c:pt idx="45">
                  <c:v>1292409.45</c:v>
                </c:pt>
                <c:pt idx="46">
                  <c:v>6279.09</c:v>
                </c:pt>
                <c:pt idx="47">
                  <c:v>1904138.04</c:v>
                </c:pt>
                <c:pt idx="48">
                  <c:v>648030.4</c:v>
                </c:pt>
                <c:pt idx="49">
                  <c:v>197883.4</c:v>
                </c:pt>
                <c:pt idx="50">
                  <c:v>414371.1</c:v>
                </c:pt>
                <c:pt idx="51">
                  <c:v>568269.6</c:v>
                </c:pt>
                <c:pt idx="52">
                  <c:v>600821.43999999994</c:v>
                </c:pt>
                <c:pt idx="53">
                  <c:v>221117</c:v>
                </c:pt>
                <c:pt idx="54">
                  <c:v>5876405.1999999993</c:v>
                </c:pt>
                <c:pt idx="55">
                  <c:v>4493999.4799999995</c:v>
                </c:pt>
                <c:pt idx="56">
                  <c:v>2914130.27</c:v>
                </c:pt>
                <c:pt idx="57">
                  <c:v>7115008.6400000006</c:v>
                </c:pt>
                <c:pt idx="58">
                  <c:v>246415.95</c:v>
                </c:pt>
                <c:pt idx="59">
                  <c:v>3097864.77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3-463F-B95A-7BD9DBE66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271438"/>
        <c:axId val="1853761032"/>
      </c:lineChart>
      <c:catAx>
        <c:axId val="328271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SUM of 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53761032"/>
        <c:crosses val="autoZero"/>
        <c:auto val="1"/>
        <c:lblAlgn val="ctr"/>
        <c:lblOffset val="100"/>
        <c:noMultiLvlLbl val="1"/>
      </c:catAx>
      <c:valAx>
        <c:axId val="1853761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82714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15125" cy="49434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0</xdr:colOff>
      <xdr:row>0</xdr:row>
      <xdr:rowOff>0</xdr:rowOff>
    </xdr:from>
    <xdr:ext cx="7981950" cy="49434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304800</xdr:colOff>
      <xdr:row>0</xdr:row>
      <xdr:rowOff>0</xdr:rowOff>
    </xdr:from>
    <xdr:ext cx="7981950" cy="4943475"/>
    <xdr:pic>
      <xdr:nvPicPr>
        <xdr:cNvPr id="631348752" name="Chart3" title="Chart">
          <a:extLst>
            <a:ext uri="{FF2B5EF4-FFF2-40B4-BE49-F238E27FC236}">
              <a16:creationId xmlns:a16="http://schemas.microsoft.com/office/drawing/2014/main" id="{00000000-0008-0000-0200-0000109EA125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oham" refreshedDate="45982.990870138892" refreshedVersion="8" recordCount="100" xr:uid="{00000000-000A-0000-FFFF-FFFF00000000}">
  <cacheSource type="worksheet">
    <worksheetSource ref="A1:T101" sheet="Sales Records"/>
  </cacheSource>
  <cacheFields count="20">
    <cacheField name="Region" numFmtId="0">
      <sharedItems count="7">
        <s v="Australia and Oceania"/>
        <s v="Central America and the Caribbean"/>
        <s v="Europe"/>
        <s v="Sub-Saharan Africa"/>
        <s v="Asia"/>
        <s v="Middle East and North Africa"/>
        <s v="North America"/>
      </sharedItems>
    </cacheField>
    <cacheField name="Country" numFmtId="0">
      <sharedItems/>
    </cacheField>
    <cacheField name="Item Type" numFmtId="0">
      <sharedItems/>
    </cacheField>
    <cacheField name="Sales Channel" numFmtId="0">
      <sharedItems/>
    </cacheField>
    <cacheField name="Order Priority" numFmtId="0">
      <sharedItems/>
    </cacheField>
    <cacheField name="Order Date" numFmtId="164">
      <sharedItems containsSemiMixedTypes="0" containsNonDate="0" containsDate="1" containsString="0" minDate="2010-02-02T00:00:00" maxDate="2017-05-23T00:00:00"/>
    </cacheField>
    <cacheField name="Order ID" numFmtId="0">
      <sharedItems containsSemiMixedTypes="0" containsString="0" containsNumber="1" containsInteger="1" minValue="114606559" maxValue="994022214"/>
    </cacheField>
    <cacheField name="Ship Date" numFmtId="164">
      <sharedItems containsSemiMixedTypes="0" containsNonDate="0" containsDate="1" containsString="0" minDate="2010-02-25T00:00:00" maxDate="2017-06-18T00:00:00"/>
    </cacheField>
    <cacheField name="Units Sold" numFmtId="0">
      <sharedItems containsSemiMixedTypes="0" containsString="0" containsNumber="1" containsInteger="1" minValue="124" maxValue="9925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4870.26" maxValue="5997054.9800000004"/>
    </cacheField>
    <cacheField name="Total Cost" numFmtId="0">
      <sharedItems containsSemiMixedTypes="0" containsString="0" containsNumber="1" minValue="3612.24" maxValue="4509793.96"/>
    </cacheField>
    <cacheField name="Total Profit" numFmtId="0">
      <sharedItems containsSemiMixedTypes="0" containsString="0" containsNumber="1" minValue="1258.02" maxValue="1719922.04"/>
    </cacheField>
    <cacheField name="Month" numFmtId="164">
      <sharedItems count="60">
        <s v="2010-05"/>
        <s v="2012-08"/>
        <s v="2014-05"/>
        <s v="2014-06"/>
        <s v="2013-02"/>
        <s v="2015-02"/>
        <s v="2011-04"/>
        <s v="2012-07"/>
        <s v="2015-07"/>
        <s v="2014-04"/>
        <s v="2011-06"/>
        <s v="2014-08"/>
        <s v="2017-01"/>
        <s v="2017-02"/>
        <s v="2014-02"/>
        <s v="2012-04"/>
        <s v="2016-11"/>
        <s v="2015-04"/>
        <s v="2010-12"/>
        <s v="2016-06"/>
        <s v="2014-09"/>
        <s v="2016-05"/>
        <s v="2017-05"/>
        <s v="2014-10"/>
        <s v="2014-07"/>
        <s v="2012-05"/>
        <s v="2012-09"/>
        <s v="2013-12"/>
        <s v="2015-10"/>
        <s v="2015-01"/>
        <s v="2011-11"/>
        <s v="2012-02"/>
        <s v="2017-03"/>
        <s v="2010-02"/>
        <s v="2012-06"/>
        <s v="2012-10"/>
        <s v="2015-11"/>
        <s v="2016-03"/>
        <s v="2016-12"/>
        <s v="2012-01"/>
        <s v="2013-08"/>
        <s v="2013-03"/>
        <s v="2013-09"/>
        <s v="2010-06"/>
        <s v="2013-06"/>
        <s v="2010-10"/>
        <s v="2013-10"/>
        <s v="2016-07"/>
        <s v="2013-04"/>
        <s v="2015-08"/>
        <s v="2011-05"/>
        <s v="2013-07"/>
        <s v="2014-11"/>
        <s v="2011-09"/>
        <s v="2011-01"/>
        <s v="2012-03"/>
        <s v="2016-10"/>
        <s v="2010-11"/>
        <s v="2011-02"/>
        <s v="2011-07"/>
      </sharedItems>
    </cacheField>
    <cacheField name="Year" numFmtId="0">
      <sharedItems containsSemiMixedTypes="0" containsString="0" containsNumber="1" containsInteger="1" minValue="2010" maxValue="2017"/>
    </cacheField>
    <cacheField name="Category" numFmtId="0">
      <sharedItems count="12">
        <s v="Baby Food"/>
        <s v="Cereal"/>
        <s v="Office Supplies"/>
        <s v="Fruits"/>
        <s v="Household"/>
        <s v="Vegetables"/>
        <s v="Personal Care"/>
        <s v="Clothes"/>
        <s v="Cosmetics"/>
        <s v="Beverages"/>
        <s v="Meat"/>
        <s v="Snacks"/>
      </sharedItems>
    </cacheField>
    <cacheField name="Total Revenue in Europe" numFmtId="0">
      <sharedItems containsSemiMixedTypes="0" containsString="0" containsNumber="1" minValue="0" maxValue="33368932.109999999"/>
    </cacheField>
    <cacheField name="Average Total Revenue" numFmtId="0">
      <sharedItems containsSemiMixedTypes="0" containsString="0" containsNumber="1" minValue="804872.5083333333" maxValue="3586605.09"/>
    </cacheField>
    <cacheField name="Numbers of orders above 1.500.000" numFmtId="0">
      <sharedItems containsSemiMixedTypes="0" containsString="0" containsNumber="1" containsInteger="1" minValue="1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Tuvalu"/>
    <s v="Baby Food"/>
    <s v="Offline"/>
    <s v="H"/>
    <d v="2010-05-28T00:00:00"/>
    <n v="669165933"/>
    <d v="2010-06-27T00:00:00"/>
    <n v="9925"/>
    <n v="255.28"/>
    <n v="159.41999999999999"/>
    <n v="2533654"/>
    <n v="1582243.5"/>
    <n v="951410.5"/>
    <x v="0"/>
    <n v="2010"/>
    <x v="0"/>
    <n v="33368932.109999999"/>
    <n v="1373487.6830999998"/>
    <n v="32"/>
  </r>
  <r>
    <x v="1"/>
    <s v="Grenada"/>
    <s v="Cereal"/>
    <s v="Online"/>
    <s v="C"/>
    <d v="2012-08-22T00:00:00"/>
    <n v="963881480"/>
    <d v="2012-09-15T00:00:00"/>
    <n v="2804"/>
    <n v="205.7"/>
    <n v="117.11"/>
    <n v="576782.80000000005"/>
    <n v="328376.44"/>
    <n v="248406.36"/>
    <x v="1"/>
    <n v="2012"/>
    <x v="1"/>
    <n v="33368932.109999999"/>
    <n v="1361768.8314141415"/>
    <n v="31"/>
  </r>
  <r>
    <x v="2"/>
    <s v="Russia"/>
    <s v="Office Supplies"/>
    <s v="Offline"/>
    <s v="L"/>
    <d v="2014-05-02T00:00:00"/>
    <n v="341417157"/>
    <d v="2014-05-08T00:00:00"/>
    <n v="1779"/>
    <n v="651.21"/>
    <n v="524.96"/>
    <n v="1158502.5900000001"/>
    <n v="933903.84"/>
    <n v="224598.75"/>
    <x v="2"/>
    <n v="2014"/>
    <x v="2"/>
    <n v="33368932.109999999"/>
    <n v="1369778.8929591835"/>
    <n v="31"/>
  </r>
  <r>
    <x v="3"/>
    <s v="Sao Tome and Principe"/>
    <s v="Fruits"/>
    <s v="Online"/>
    <s v="C"/>
    <d v="2014-06-20T00:00:00"/>
    <n v="514321792"/>
    <d v="2014-07-05T00:00:00"/>
    <n v="8102"/>
    <n v="9.33"/>
    <n v="6.92"/>
    <n v="75591.66"/>
    <n v="56065.84"/>
    <n v="19525.82"/>
    <x v="3"/>
    <n v="2014"/>
    <x v="3"/>
    <n v="32210429.519999996"/>
    <n v="1371956.9991752577"/>
    <n v="31"/>
  </r>
  <r>
    <x v="3"/>
    <s v="Rwanda"/>
    <s v="Office Supplies"/>
    <s v="Offline"/>
    <s v="L"/>
    <d v="2013-02-01T00:00:00"/>
    <n v="115456712"/>
    <d v="2013-02-06T00:00:00"/>
    <n v="5062"/>
    <n v="651.21"/>
    <n v="524.96"/>
    <n v="3296425.02"/>
    <n v="2657347.52"/>
    <n v="639077.5"/>
    <x v="4"/>
    <n v="2013"/>
    <x v="2"/>
    <n v="32210429.519999996"/>
    <n v="1385460.8047916668"/>
    <n v="31"/>
  </r>
  <r>
    <x v="0"/>
    <s v="Solomon Islands"/>
    <s v="Baby Food"/>
    <s v="Online"/>
    <s v="C"/>
    <d v="2015-02-04T00:00:00"/>
    <n v="547995746"/>
    <d v="2015-02-21T00:00:00"/>
    <n v="2974"/>
    <n v="255.28"/>
    <n v="159.41999999999999"/>
    <n v="759202.72"/>
    <n v="474115.08"/>
    <n v="285087.64"/>
    <x v="5"/>
    <n v="2015"/>
    <x v="0"/>
    <n v="32210429.519999996"/>
    <n v="1365345.392"/>
    <n v="30"/>
  </r>
  <r>
    <x v="3"/>
    <s v="Angola"/>
    <s v="Household"/>
    <s v="Offline"/>
    <s v="M"/>
    <d v="2011-04-23T00:00:00"/>
    <n v="135425221"/>
    <d v="2011-04-27T00:00:00"/>
    <n v="4187"/>
    <n v="668.27"/>
    <n v="502.54"/>
    <n v="2798046.49"/>
    <n v="2104134.98"/>
    <n v="693911.51"/>
    <x v="6"/>
    <n v="2011"/>
    <x v="4"/>
    <n v="32210429.519999996"/>
    <n v="1371793.7182978722"/>
    <n v="30"/>
  </r>
  <r>
    <x v="3"/>
    <s v="Burkina Faso"/>
    <s v="Vegetables"/>
    <s v="Online"/>
    <s v="H"/>
    <d v="2012-07-17T00:00:00"/>
    <n v="871543967"/>
    <d v="2012-07-27T00:00:00"/>
    <n v="8082"/>
    <n v="154.06"/>
    <n v="90.93"/>
    <n v="1245112.92"/>
    <n v="734896.26"/>
    <n v="510216.66"/>
    <x v="7"/>
    <n v="2012"/>
    <x v="5"/>
    <n v="32210429.519999996"/>
    <n v="1356457.6669892471"/>
    <n v="29"/>
  </r>
  <r>
    <x v="3"/>
    <s v="Republic of the Congo"/>
    <s v="Personal Care"/>
    <s v="Offline"/>
    <s v="M"/>
    <d v="2015-07-14T00:00:00"/>
    <n v="770463311"/>
    <d v="2015-08-25T00:00:00"/>
    <n v="6070"/>
    <n v="81.73"/>
    <n v="56.67"/>
    <n v="496101.1"/>
    <n v="343986.9"/>
    <n v="152114.20000000001"/>
    <x v="8"/>
    <n v="2015"/>
    <x v="6"/>
    <n v="32210429.519999996"/>
    <n v="1357667.9359782606"/>
    <n v="29"/>
  </r>
  <r>
    <x v="3"/>
    <s v="Senegal"/>
    <s v="Cereal"/>
    <s v="Online"/>
    <s v="H"/>
    <d v="2014-04-18T00:00:00"/>
    <n v="616607081"/>
    <d v="2014-05-30T00:00:00"/>
    <n v="6593"/>
    <n v="205.7"/>
    <n v="117.11"/>
    <n v="1356180.1"/>
    <n v="772106.23"/>
    <n v="584073.87"/>
    <x v="9"/>
    <n v="2014"/>
    <x v="1"/>
    <n v="32210429.519999996"/>
    <n v="1367135.7034065931"/>
    <n v="29"/>
  </r>
  <r>
    <x v="4"/>
    <s v="Kyrgyzstan"/>
    <s v="Vegetables"/>
    <s v="Online"/>
    <s v="H"/>
    <d v="2011-06-24T00:00:00"/>
    <n v="814711606"/>
    <d v="2011-07-12T00:00:00"/>
    <n v="124"/>
    <n v="154.06"/>
    <n v="90.93"/>
    <n v="19103.439999999999"/>
    <n v="11275.32"/>
    <n v="7828.12"/>
    <x v="10"/>
    <n v="2011"/>
    <x v="5"/>
    <n v="32210429.519999996"/>
    <n v="1367257.4323333332"/>
    <n v="29"/>
  </r>
  <r>
    <x v="3"/>
    <s v="Cape Verde"/>
    <s v="Clothes"/>
    <s v="Offline"/>
    <s v="H"/>
    <d v="2014-08-02T00:00:00"/>
    <n v="939825713"/>
    <d v="2014-08-19T00:00:00"/>
    <n v="4168"/>
    <n v="109.28"/>
    <n v="35.840000000000003"/>
    <n v="455479.03999999998"/>
    <n v="149381.12"/>
    <n v="306097.91999999998"/>
    <x v="11"/>
    <n v="2014"/>
    <x v="7"/>
    <n v="32210429.519999996"/>
    <n v="1382405.2299999997"/>
    <n v="29"/>
  </r>
  <r>
    <x v="4"/>
    <s v="Bangladesh"/>
    <s v="Clothes"/>
    <s v="Online"/>
    <s v="L"/>
    <d v="2017-01-13T00:00:00"/>
    <n v="187310731"/>
    <d v="2017-03-01T00:00:00"/>
    <n v="8263"/>
    <n v="109.28"/>
    <n v="35.840000000000003"/>
    <n v="902980.64"/>
    <n v="296145.91999999998"/>
    <n v="606834.72"/>
    <x v="12"/>
    <n v="2017"/>
    <x v="7"/>
    <n v="32210429.519999996"/>
    <n v="1392938.4821590907"/>
    <n v="29"/>
  </r>
  <r>
    <x v="1"/>
    <s v="Honduras"/>
    <s v="Household"/>
    <s v="Offline"/>
    <s v="H"/>
    <d v="2017-02-08T00:00:00"/>
    <n v="522840487"/>
    <d v="2017-02-13T00:00:00"/>
    <n v="8974"/>
    <n v="668.27"/>
    <n v="502.54"/>
    <n v="5997054.9800000004"/>
    <n v="4509793.96"/>
    <n v="1487261.02"/>
    <x v="13"/>
    <n v="2017"/>
    <x v="4"/>
    <n v="32210429.519999996"/>
    <n v="1398570.1814942525"/>
    <n v="29"/>
  </r>
  <r>
    <x v="4"/>
    <s v="Mongolia"/>
    <s v="Personal Care"/>
    <s v="Offline"/>
    <s v="C"/>
    <d v="2014-02-19T00:00:00"/>
    <n v="832401311"/>
    <d v="2014-02-23T00:00:00"/>
    <n v="4901"/>
    <n v="81.73"/>
    <n v="56.67"/>
    <n v="400558.73"/>
    <n v="277739.67"/>
    <n v="122819.06"/>
    <x v="14"/>
    <n v="2014"/>
    <x v="6"/>
    <n v="32210429.519999996"/>
    <n v="1345099.4280232554"/>
    <n v="28"/>
  </r>
  <r>
    <x v="2"/>
    <s v="Bulgaria"/>
    <s v="Clothes"/>
    <s v="Online"/>
    <s v="M"/>
    <d v="2012-04-23T00:00:00"/>
    <n v="972292029"/>
    <d v="2012-06-03T00:00:00"/>
    <n v="1673"/>
    <n v="109.28"/>
    <n v="35.840000000000003"/>
    <n v="182825.44"/>
    <n v="59960.32"/>
    <n v="122865.12"/>
    <x v="15"/>
    <n v="2012"/>
    <x v="7"/>
    <n v="32210429.519999996"/>
    <n v="1356211.6715294116"/>
    <n v="28"/>
  </r>
  <r>
    <x v="4"/>
    <s v="Sri Lanka"/>
    <s v="Cosmetics"/>
    <s v="Offline"/>
    <s v="M"/>
    <d v="2016-11-19T00:00:00"/>
    <n v="419123971"/>
    <d v="2016-12-18T00:00:00"/>
    <n v="6952"/>
    <n v="437.2"/>
    <n v="263.33"/>
    <n v="3039414.4"/>
    <n v="1830670.16"/>
    <n v="1208744.24"/>
    <x v="16"/>
    <n v="2016"/>
    <x v="8"/>
    <n v="32027604.079999998"/>
    <n v="1370180.5552380949"/>
    <n v="28"/>
  </r>
  <r>
    <x v="3"/>
    <s v="Cameroon"/>
    <s v="Beverages"/>
    <s v="Offline"/>
    <s v="C"/>
    <d v="2015-04-01T00:00:00"/>
    <n v="519820964"/>
    <d v="2015-04-18T00:00:00"/>
    <n v="5430"/>
    <n v="47.45"/>
    <n v="31.79"/>
    <n v="257653.5"/>
    <n v="172619.7"/>
    <n v="85033.8"/>
    <x v="17"/>
    <n v="2015"/>
    <x v="9"/>
    <n v="32027604.079999998"/>
    <n v="1350069.3040963854"/>
    <n v="27"/>
  </r>
  <r>
    <x v="4"/>
    <s v="Turkmenistan"/>
    <s v="Household"/>
    <s v="Offline"/>
    <s v="L"/>
    <d v="2010-12-30T00:00:00"/>
    <n v="441619336"/>
    <d v="2011-01-20T00:00:00"/>
    <n v="3830"/>
    <n v="668.27"/>
    <n v="502.54"/>
    <n v="2559474.1"/>
    <n v="1924728.2"/>
    <n v="634745.9"/>
    <x v="18"/>
    <n v="2010"/>
    <x v="4"/>
    <n v="32027604.079999998"/>
    <n v="1363391.4480487802"/>
    <n v="27"/>
  </r>
  <r>
    <x v="0"/>
    <s v="East Timor"/>
    <s v="Meat"/>
    <s v="Online"/>
    <s v="L"/>
    <d v="2012-07-31T00:00:00"/>
    <n v="322067916"/>
    <d v="2012-09-11T00:00:00"/>
    <n v="5908"/>
    <n v="421.89"/>
    <n v="364.69"/>
    <n v="2492526.12"/>
    <n v="2154588.52"/>
    <n v="337937.6"/>
    <x v="7"/>
    <n v="2012"/>
    <x v="10"/>
    <n v="32027604.079999998"/>
    <n v="1348624.9955555552"/>
    <n v="26"/>
  </r>
  <r>
    <x v="2"/>
    <s v="Norway"/>
    <s v="Baby Food"/>
    <s v="Online"/>
    <s v="L"/>
    <d v="2014-05-14T00:00:00"/>
    <n v="819028031"/>
    <d v="2014-06-28T00:00:00"/>
    <n v="7450"/>
    <n v="255.28"/>
    <n v="159.41999999999999"/>
    <n v="1901836"/>
    <n v="1187679"/>
    <n v="714157"/>
    <x v="2"/>
    <n v="2014"/>
    <x v="0"/>
    <n v="32027604.079999998"/>
    <n v="1334326.2314999998"/>
    <n v="25"/>
  </r>
  <r>
    <x v="2"/>
    <s v="Portugal"/>
    <s v="Baby Food"/>
    <s v="Online"/>
    <s v="H"/>
    <d v="2015-07-31T00:00:00"/>
    <n v="860673511"/>
    <d v="2015-09-03T00:00:00"/>
    <n v="1273"/>
    <n v="255.28"/>
    <n v="159.41999999999999"/>
    <n v="324971.44"/>
    <n v="202941.66"/>
    <n v="122029.78"/>
    <x v="8"/>
    <n v="2015"/>
    <x v="0"/>
    <n v="30125768.079999998"/>
    <n v="1327142.5635443036"/>
    <n v="24"/>
  </r>
  <r>
    <x v="1"/>
    <s v="Honduras"/>
    <s v="Snacks"/>
    <s v="Online"/>
    <s v="L"/>
    <d v="2016-06-30T00:00:00"/>
    <n v="795490682"/>
    <d v="2016-07-26T00:00:00"/>
    <n v="2225"/>
    <n v="152.58000000000001"/>
    <n v="97.44"/>
    <n v="339490.5"/>
    <n v="216804"/>
    <n v="122686.5"/>
    <x v="19"/>
    <n v="2016"/>
    <x v="11"/>
    <n v="29800796.640000001"/>
    <n v="1339990.9112820511"/>
    <n v="24"/>
  </r>
  <r>
    <x v="0"/>
    <s v="New Zealand"/>
    <s v="Fruits"/>
    <s v="Online"/>
    <s v="H"/>
    <d v="2014-09-08T00:00:00"/>
    <n v="142278373"/>
    <d v="2014-10-04T00:00:00"/>
    <n v="2187"/>
    <n v="9.33"/>
    <n v="6.92"/>
    <n v="20404.71"/>
    <n v="15134.04"/>
    <n v="5270.67"/>
    <x v="20"/>
    <n v="2014"/>
    <x v="3"/>
    <n v="29800796.640000001"/>
    <n v="1352984.4231168828"/>
    <n v="24"/>
  </r>
  <r>
    <x v="2"/>
    <s v="Moldova"/>
    <s v="Personal Care"/>
    <s v="Online"/>
    <s v="L"/>
    <d v="2016-05-07T00:00:00"/>
    <n v="740147912"/>
    <d v="2016-05-10T00:00:00"/>
    <n v="5070"/>
    <n v="81.73"/>
    <n v="56.67"/>
    <n v="414371.1"/>
    <n v="287316.90000000002"/>
    <n v="127054.2"/>
    <x v="21"/>
    <n v="2016"/>
    <x v="6"/>
    <n v="29800796.640000001"/>
    <n v="1370518.3667105262"/>
    <n v="24"/>
  </r>
  <r>
    <x v="2"/>
    <s v="France"/>
    <s v="Cosmetics"/>
    <s v="Online"/>
    <s v="H"/>
    <d v="2017-05-22T00:00:00"/>
    <n v="898523128"/>
    <d v="2017-06-05T00:00:00"/>
    <n v="1815"/>
    <n v="437.2"/>
    <n v="263.33"/>
    <n v="793518"/>
    <n v="477943.95"/>
    <n v="315574.05"/>
    <x v="22"/>
    <n v="2017"/>
    <x v="8"/>
    <n v="29386425.539999999"/>
    <n v="1383266.9969333331"/>
    <n v="24"/>
  </r>
  <r>
    <x v="0"/>
    <s v="Kiribati"/>
    <s v="Fruits"/>
    <s v="Online"/>
    <s v="M"/>
    <d v="2014-10-13T00:00:00"/>
    <n v="347140347"/>
    <d v="2014-11-10T00:00:00"/>
    <n v="5398"/>
    <n v="9.33"/>
    <n v="6.92"/>
    <n v="50363.34"/>
    <n v="37354.160000000003"/>
    <n v="13009.18"/>
    <x v="23"/>
    <n v="2014"/>
    <x v="3"/>
    <n v="28592907.539999999"/>
    <n v="1391236.5779729728"/>
    <n v="24"/>
  </r>
  <r>
    <x v="3"/>
    <s v="Mali"/>
    <s v="Fruits"/>
    <s v="Online"/>
    <s v="L"/>
    <d v="2010-05-07T00:00:00"/>
    <n v="686048400"/>
    <d v="2010-05-10T00:00:00"/>
    <n v="5822"/>
    <n v="9.33"/>
    <n v="6.92"/>
    <n v="54319.26"/>
    <n v="40288.239999999998"/>
    <n v="14031.02"/>
    <x v="0"/>
    <n v="2010"/>
    <x v="3"/>
    <n v="28592907.539999999"/>
    <n v="1409604.7045205478"/>
    <n v="24"/>
  </r>
  <r>
    <x v="2"/>
    <s v="Norway"/>
    <s v="Beverages"/>
    <s v="Offline"/>
    <s v="C"/>
    <d v="2014-07-18T00:00:00"/>
    <n v="435608613"/>
    <d v="2014-07-30T00:00:00"/>
    <n v="5124"/>
    <n v="47.45"/>
    <n v="31.79"/>
    <n v="243133.8"/>
    <n v="162891.96"/>
    <n v="80241.84"/>
    <x v="24"/>
    <n v="2014"/>
    <x v="9"/>
    <n v="28592907.539999999"/>
    <n v="1428428.1134722221"/>
    <n v="24"/>
  </r>
  <r>
    <x v="3"/>
    <s v="The Gambia"/>
    <s v="Household"/>
    <s v="Offline"/>
    <s v="L"/>
    <d v="2012-05-26T00:00:00"/>
    <n v="886494815"/>
    <d v="2012-06-09T00:00:00"/>
    <n v="2370"/>
    <n v="668.27"/>
    <n v="502.54"/>
    <n v="1583799.9"/>
    <n v="1191019.8"/>
    <n v="392780.1"/>
    <x v="25"/>
    <n v="2012"/>
    <x v="4"/>
    <n v="28349773.740000002"/>
    <n v="1445122.3995774647"/>
    <n v="24"/>
  </r>
  <r>
    <x v="2"/>
    <s v="Switzerland"/>
    <s v="Cosmetics"/>
    <s v="Offline"/>
    <s v="M"/>
    <d v="2012-09-17T00:00:00"/>
    <n v="249693334"/>
    <d v="2012-10-20T00:00:00"/>
    <n v="8661"/>
    <n v="437.2"/>
    <n v="263.33"/>
    <n v="3786589.2"/>
    <n v="2280701.13"/>
    <n v="1505888.07"/>
    <x v="26"/>
    <n v="2012"/>
    <x v="8"/>
    <n v="28349773.740000002"/>
    <n v="1443141.2924285713"/>
    <n v="23"/>
  </r>
  <r>
    <x v="3"/>
    <s v="South Sudan"/>
    <s v="Personal Care"/>
    <s v="Offline"/>
    <s v="C"/>
    <d v="2013-12-29T00:00:00"/>
    <n v="406502997"/>
    <d v="2014-01-28T00:00:00"/>
    <n v="2125"/>
    <n v="81.73"/>
    <n v="56.67"/>
    <n v="173676.25"/>
    <n v="120423.75"/>
    <n v="53252.5"/>
    <x v="27"/>
    <n v="2013"/>
    <x v="6"/>
    <n v="24563184.539999999"/>
    <n v="1409178.2792753621"/>
    <n v="22"/>
  </r>
  <r>
    <x v="0"/>
    <s v="Australia"/>
    <s v="Office Supplies"/>
    <s v="Online"/>
    <s v="C"/>
    <d v="2015-10-27T00:00:00"/>
    <n v="158535134"/>
    <d v="2015-11-25T00:00:00"/>
    <n v="2924"/>
    <n v="651.21"/>
    <n v="524.96"/>
    <n v="1904138.04"/>
    <n v="1534983.04"/>
    <n v="369155"/>
    <x v="28"/>
    <n v="2015"/>
    <x v="2"/>
    <n v="24563184.539999999"/>
    <n v="1427347.4267647059"/>
    <n v="22"/>
  </r>
  <r>
    <x v="4"/>
    <s v="Myanmar"/>
    <s v="Household"/>
    <s v="Offline"/>
    <s v="H"/>
    <d v="2015-01-16T00:00:00"/>
    <n v="177713572"/>
    <d v="2015-03-01T00:00:00"/>
    <n v="8250"/>
    <n v="668.27"/>
    <n v="502.54"/>
    <n v="5513227.5"/>
    <n v="4145955"/>
    <n v="1367272.5"/>
    <x v="29"/>
    <n v="2015"/>
    <x v="4"/>
    <n v="24563184.539999999"/>
    <n v="1420231.1489552234"/>
    <n v="21"/>
  </r>
  <r>
    <x v="3"/>
    <s v="Djibouti"/>
    <s v="Snacks"/>
    <s v="Online"/>
    <s v="M"/>
    <d v="2017-02-25T00:00:00"/>
    <n v="756274640"/>
    <d v="2017-02-25T00:00:00"/>
    <n v="7327"/>
    <n v="152.58000000000001"/>
    <n v="97.44"/>
    <n v="1117953.6599999999"/>
    <n v="713942.88"/>
    <n v="404010.78"/>
    <x v="13"/>
    <n v="2017"/>
    <x v="11"/>
    <n v="24563184.539999999"/>
    <n v="1358216.0527272725"/>
    <n v="20"/>
  </r>
  <r>
    <x v="1"/>
    <s v="Costa Rica"/>
    <s v="Personal Care"/>
    <s v="Offline"/>
    <s v="L"/>
    <d v="2017-05-08T00:00:00"/>
    <n v="456767165"/>
    <d v="2017-05-21T00:00:00"/>
    <n v="6409"/>
    <n v="81.73"/>
    <n v="56.67"/>
    <n v="523807.57"/>
    <n v="363198.03"/>
    <n v="160609.54"/>
    <x v="22"/>
    <n v="2017"/>
    <x v="6"/>
    <n v="24563184.539999999"/>
    <n v="1361912.3972307688"/>
    <n v="20"/>
  </r>
  <r>
    <x v="5"/>
    <s v="Syria"/>
    <s v="Fruits"/>
    <s v="Online"/>
    <s v="L"/>
    <d v="2011-11-22T00:00:00"/>
    <n v="162052476"/>
    <d v="2011-12-03T00:00:00"/>
    <n v="3784"/>
    <n v="9.33"/>
    <n v="6.92"/>
    <n v="35304.720000000001"/>
    <n v="26185.279999999999"/>
    <n v="9119.44"/>
    <x v="30"/>
    <n v="2011"/>
    <x v="3"/>
    <n v="24563184.539999999"/>
    <n v="1375007.7851562495"/>
    <n v="20"/>
  </r>
  <r>
    <x v="3"/>
    <s v="The Gambia"/>
    <s v="Meat"/>
    <s v="Online"/>
    <s v="M"/>
    <d v="2017-01-14T00:00:00"/>
    <n v="825304400"/>
    <d v="2017-01-23T00:00:00"/>
    <n v="4767"/>
    <n v="421.89"/>
    <n v="364.69"/>
    <n v="2011149.63"/>
    <n v="1738477.23"/>
    <n v="272672.40000000002"/>
    <x v="12"/>
    <n v="2017"/>
    <x v="10"/>
    <n v="24563184.539999999"/>
    <n v="1396272.9131746027"/>
    <n v="20"/>
  </r>
  <r>
    <x v="4"/>
    <s v="Brunei"/>
    <s v="Office Supplies"/>
    <s v="Online"/>
    <s v="L"/>
    <d v="2012-04-01T00:00:00"/>
    <n v="320009267"/>
    <d v="2012-05-08T00:00:00"/>
    <n v="6708"/>
    <n v="651.21"/>
    <n v="524.96"/>
    <n v="4368316.68"/>
    <n v="3521431.68"/>
    <n v="846885"/>
    <x v="15"/>
    <n v="2012"/>
    <x v="2"/>
    <n v="24563184.539999999"/>
    <n v="1386355.5467741932"/>
    <n v="19"/>
  </r>
  <r>
    <x v="2"/>
    <s v="Bulgaria"/>
    <s v="Office Supplies"/>
    <s v="Online"/>
    <s v="M"/>
    <d v="2012-02-16T00:00:00"/>
    <n v="189965903"/>
    <d v="2012-02-28T00:00:00"/>
    <n v="3987"/>
    <n v="651.21"/>
    <n v="524.96"/>
    <n v="2596374.27"/>
    <n v="2093015.52"/>
    <n v="503358.75"/>
    <x v="31"/>
    <n v="2012"/>
    <x v="2"/>
    <n v="24563184.539999999"/>
    <n v="1337470.9380327868"/>
    <n v="18"/>
  </r>
  <r>
    <x v="3"/>
    <s v="Niger"/>
    <s v="Personal Care"/>
    <s v="Online"/>
    <s v="H"/>
    <d v="2017-03-11T00:00:00"/>
    <n v="699285638"/>
    <d v="2017-03-28T00:00:00"/>
    <n v="3015"/>
    <n v="81.73"/>
    <n v="56.67"/>
    <n v="246415.95"/>
    <n v="170860.05"/>
    <n v="75555.899999999994"/>
    <x v="32"/>
    <n v="2017"/>
    <x v="6"/>
    <n v="21966810.27"/>
    <n v="1316489.2158333331"/>
    <n v="17"/>
  </r>
  <r>
    <x v="5"/>
    <s v="Azerbaijan"/>
    <s v="Cosmetics"/>
    <s v="Online"/>
    <s v="M"/>
    <d v="2010-02-06T00:00:00"/>
    <n v="382392299"/>
    <d v="2010-02-25T00:00:00"/>
    <n v="7234"/>
    <n v="437.2"/>
    <n v="263.33"/>
    <n v="3162704.8"/>
    <n v="1904929.22"/>
    <n v="1257775.58"/>
    <x v="33"/>
    <n v="2010"/>
    <x v="8"/>
    <n v="21966810.27"/>
    <n v="1334626.0508474577"/>
    <n v="17"/>
  </r>
  <r>
    <x v="3"/>
    <s v="The Gambia"/>
    <s v="Cereal"/>
    <s v="Offline"/>
    <s v="H"/>
    <d v="2012-06-07T00:00:00"/>
    <n v="994022214"/>
    <d v="2012-06-08T00:00:00"/>
    <n v="2117"/>
    <n v="205.7"/>
    <n v="117.11"/>
    <n v="435466.9"/>
    <n v="247921.87"/>
    <n v="187545.03"/>
    <x v="34"/>
    <n v="2012"/>
    <x v="1"/>
    <n v="21966810.27"/>
    <n v="1303107.4517241379"/>
    <n v="16"/>
  </r>
  <r>
    <x v="2"/>
    <s v="Slovakia"/>
    <s v="Vegetables"/>
    <s v="Online"/>
    <s v="H"/>
    <d v="2012-10-06T00:00:00"/>
    <n v="759224212"/>
    <d v="2012-11-10T00:00:00"/>
    <n v="171"/>
    <n v="154.06"/>
    <n v="90.93"/>
    <n v="26344.26"/>
    <n v="15549.03"/>
    <n v="10795.23"/>
    <x v="35"/>
    <n v="2012"/>
    <x v="5"/>
    <n v="21966810.27"/>
    <n v="1318329.2157894736"/>
    <n v="16"/>
  </r>
  <r>
    <x v="4"/>
    <s v="Myanmar"/>
    <s v="Clothes"/>
    <s v="Online"/>
    <s v="H"/>
    <d v="2015-11-14T00:00:00"/>
    <n v="223359620"/>
    <d v="2015-11-18T00:00:00"/>
    <n v="5930"/>
    <n v="109.28"/>
    <n v="35.840000000000003"/>
    <n v="648030.4"/>
    <n v="212531.20000000001"/>
    <n v="435499.2"/>
    <x v="36"/>
    <n v="2015"/>
    <x v="7"/>
    <n v="21940466.009999998"/>
    <n v="1341400.3757142855"/>
    <n v="16"/>
  </r>
  <r>
    <x v="3"/>
    <s v="Comoros"/>
    <s v="Cereal"/>
    <s v="Offline"/>
    <s v="H"/>
    <d v="2016-03-29T00:00:00"/>
    <n v="902102267"/>
    <d v="2016-04-29T00:00:00"/>
    <n v="962"/>
    <n v="205.7"/>
    <n v="117.11"/>
    <n v="197883.4"/>
    <n v="112659.82"/>
    <n v="85223.58"/>
    <x v="37"/>
    <n v="2016"/>
    <x v="1"/>
    <n v="21940466.009999998"/>
    <n v="1354007.1025454546"/>
    <n v="16"/>
  </r>
  <r>
    <x v="2"/>
    <s v="Iceland"/>
    <s v="Cosmetics"/>
    <s v="Online"/>
    <s v="C"/>
    <d v="2016-12-31T00:00:00"/>
    <n v="331438481"/>
    <d v="2016-12-31T00:00:00"/>
    <n v="8867"/>
    <n v="437.2"/>
    <n v="263.33"/>
    <n v="3876652.4"/>
    <n v="2334947.11"/>
    <n v="1541705.29"/>
    <x v="38"/>
    <n v="2016"/>
    <x v="8"/>
    <n v="21940466.009999998"/>
    <n v="1375416.8007407407"/>
    <n v="16"/>
  </r>
  <r>
    <x v="2"/>
    <s v="Switzerland"/>
    <s v="Personal Care"/>
    <s v="Online"/>
    <s v="M"/>
    <d v="2010-12-23T00:00:00"/>
    <n v="617667090"/>
    <d v="2011-01-31T00:00:00"/>
    <n v="273"/>
    <n v="81.73"/>
    <n v="56.67"/>
    <n v="22312.29"/>
    <n v="15470.91"/>
    <n v="6841.38"/>
    <x v="18"/>
    <n v="2010"/>
    <x v="6"/>
    <n v="18063813.609999999"/>
    <n v="1328223.676226415"/>
    <n v="15"/>
  </r>
  <r>
    <x v="2"/>
    <s v="Macedonia"/>
    <s v="Clothes"/>
    <s v="Offline"/>
    <s v="C"/>
    <d v="2014-10-14T00:00:00"/>
    <n v="787399423"/>
    <d v="2014-11-14T00:00:00"/>
    <n v="7842"/>
    <n v="109.28"/>
    <n v="35.840000000000003"/>
    <n v="856973.76"/>
    <n v="281057.28000000003"/>
    <n v="575916.48"/>
    <x v="23"/>
    <n v="2014"/>
    <x v="7"/>
    <n v="18041501.32"/>
    <n v="1353337.3567307689"/>
    <n v="15"/>
  </r>
  <r>
    <x v="3"/>
    <s v="Mauritania"/>
    <s v="Office Supplies"/>
    <s v="Offline"/>
    <s v="C"/>
    <d v="2012-01-11T00:00:00"/>
    <n v="837559306"/>
    <d v="2012-01-13T00:00:00"/>
    <n v="1266"/>
    <n v="651.21"/>
    <n v="524.96"/>
    <n v="824431.86"/>
    <n v="664599.36"/>
    <n v="159832.5"/>
    <x v="39"/>
    <n v="2012"/>
    <x v="2"/>
    <n v="17184527.559999999"/>
    <n v="1363069.9762745097"/>
    <n v="15"/>
  </r>
  <r>
    <x v="2"/>
    <s v="Albania"/>
    <s v="Clothes"/>
    <s v="Online"/>
    <s v="C"/>
    <d v="2010-02-02T00:00:00"/>
    <n v="385383069"/>
    <d v="2010-03-18T00:00:00"/>
    <n v="2269"/>
    <n v="109.28"/>
    <n v="35.840000000000003"/>
    <n v="247956.32"/>
    <n v="81320.960000000006"/>
    <n v="166635.35999999999"/>
    <x v="33"/>
    <n v="2010"/>
    <x v="7"/>
    <n v="17184527.559999999"/>
    <n v="1373842.7385999998"/>
    <n v="15"/>
  </r>
  <r>
    <x v="3"/>
    <s v="Lesotho"/>
    <s v="Fruits"/>
    <s v="Online"/>
    <s v="L"/>
    <d v="2013-08-18T00:00:00"/>
    <n v="918419539"/>
    <d v="2013-09-18T00:00:00"/>
    <n v="9606"/>
    <n v="9.33"/>
    <n v="6.92"/>
    <n v="89623.98"/>
    <n v="66473.52"/>
    <n v="23150.46"/>
    <x v="40"/>
    <n v="2013"/>
    <x v="3"/>
    <n v="16936571.240000002"/>
    <n v="1396820.0124489793"/>
    <n v="15"/>
  </r>
  <r>
    <x v="5"/>
    <s v="Saudi Arabia"/>
    <s v="Cereal"/>
    <s v="Online"/>
    <s v="M"/>
    <d v="2013-03-25T00:00:00"/>
    <n v="844530045"/>
    <d v="2013-03-28T00:00:00"/>
    <n v="4063"/>
    <n v="205.7"/>
    <n v="117.11"/>
    <n v="835759.1"/>
    <n v="475817.93"/>
    <n v="359941.17"/>
    <x v="41"/>
    <n v="2013"/>
    <x v="1"/>
    <n v="16936571.240000002"/>
    <n v="1424053.2631249996"/>
    <n v="15"/>
  </r>
  <r>
    <x v="3"/>
    <s v="Sierra Leone"/>
    <s v="Office Supplies"/>
    <s v="Offline"/>
    <s v="M"/>
    <d v="2011-11-26T00:00:00"/>
    <n v="441888415"/>
    <d v="2012-01-07T00:00:00"/>
    <n v="3457"/>
    <n v="651.21"/>
    <n v="524.96"/>
    <n v="2251232.9700000002"/>
    <n v="1814786.72"/>
    <n v="436446.25"/>
    <x v="30"/>
    <n v="2011"/>
    <x v="2"/>
    <n v="16936571.240000002"/>
    <n v="1436570.1602127657"/>
    <n v="15"/>
  </r>
  <r>
    <x v="3"/>
    <s v="Sao Tome and Principe"/>
    <s v="Fruits"/>
    <s v="Offline"/>
    <s v="H"/>
    <d v="2013-09-17T00:00:00"/>
    <n v="508980977"/>
    <d v="2013-10-24T00:00:00"/>
    <n v="7637"/>
    <n v="9.33"/>
    <n v="6.92"/>
    <n v="71253.210000000006"/>
    <n v="52848.04"/>
    <n v="18405.169999999998"/>
    <x v="42"/>
    <n v="2013"/>
    <x v="3"/>
    <n v="16936571.240000002"/>
    <n v="1418860.0991304344"/>
    <n v="14"/>
  </r>
  <r>
    <x v="3"/>
    <s v="Cote d'Ivoire"/>
    <s v="Clothes"/>
    <s v="Online"/>
    <s v="C"/>
    <d v="2012-06-08T00:00:00"/>
    <n v="114606559"/>
    <d v="2012-06-27T00:00:00"/>
    <n v="3482"/>
    <n v="109.28"/>
    <n v="35.840000000000003"/>
    <n v="380512.96"/>
    <n v="124794.88"/>
    <n v="255718.08"/>
    <x v="34"/>
    <n v="2012"/>
    <x v="7"/>
    <n v="16936571.240000002"/>
    <n v="1448806.9188888888"/>
    <n v="14"/>
  </r>
  <r>
    <x v="0"/>
    <s v="Fiji"/>
    <s v="Clothes"/>
    <s v="Offline"/>
    <s v="C"/>
    <d v="2010-06-30T00:00:00"/>
    <n v="647876489"/>
    <d v="2010-08-01T00:00:00"/>
    <n v="9905"/>
    <n v="109.28"/>
    <n v="35.840000000000003"/>
    <n v="1082418.3999999999"/>
    <n v="354995.20000000001"/>
    <n v="727423.2"/>
    <x v="43"/>
    <n v="2010"/>
    <x v="7"/>
    <n v="16936571.240000002"/>
    <n v="1473086.3270454542"/>
    <n v="14"/>
  </r>
  <r>
    <x v="2"/>
    <s v="Austria"/>
    <s v="Cosmetics"/>
    <s v="Offline"/>
    <s v="H"/>
    <d v="2015-02-23T00:00:00"/>
    <n v="868214595"/>
    <d v="2015-03-02T00:00:00"/>
    <n v="2847"/>
    <n v="437.2"/>
    <n v="263.33"/>
    <n v="1244708.3999999999"/>
    <n v="749700.51"/>
    <n v="495007.89"/>
    <x v="5"/>
    <n v="2015"/>
    <x v="8"/>
    <n v="16936571.240000002"/>
    <n v="1482171.6276744185"/>
    <n v="14"/>
  </r>
  <r>
    <x v="2"/>
    <s v="United Kingdom"/>
    <s v="Household"/>
    <s v="Online"/>
    <s v="L"/>
    <d v="2012-01-05T00:00:00"/>
    <n v="955357205"/>
    <d v="2012-02-14T00:00:00"/>
    <n v="282"/>
    <n v="668.27"/>
    <n v="502.54"/>
    <n v="188452.14"/>
    <n v="141716.28"/>
    <n v="46735.86"/>
    <x v="39"/>
    <n v="2012"/>
    <x v="4"/>
    <n v="15691862.84"/>
    <n v="1487825.5140476187"/>
    <n v="14"/>
  </r>
  <r>
    <x v="3"/>
    <s v="Djibouti"/>
    <s v="Cosmetics"/>
    <s v="Offline"/>
    <s v="H"/>
    <d v="2014-04-07T00:00:00"/>
    <n v="259353148"/>
    <d v="2014-04-19T00:00:00"/>
    <n v="7215"/>
    <n v="437.2"/>
    <n v="263.33"/>
    <n v="3154398"/>
    <n v="1899925.95"/>
    <n v="1254472.05"/>
    <x v="9"/>
    <n v="2014"/>
    <x v="8"/>
    <n v="15503410.699999999"/>
    <n v="1519517.5475609754"/>
    <n v="14"/>
  </r>
  <r>
    <x v="0"/>
    <s v="Australia"/>
    <s v="Cereal"/>
    <s v="Offline"/>
    <s v="H"/>
    <d v="2013-06-09T00:00:00"/>
    <n v="450563752"/>
    <d v="2013-07-02T00:00:00"/>
    <n v="682"/>
    <n v="205.7"/>
    <n v="117.11"/>
    <n v="140287.4"/>
    <n v="79869.02"/>
    <n v="60418.38"/>
    <x v="44"/>
    <n v="2013"/>
    <x v="1"/>
    <n v="15503410.699999999"/>
    <n v="1478645.5362499997"/>
    <n v="13"/>
  </r>
  <r>
    <x v="2"/>
    <s v="San Marino"/>
    <s v="Baby Food"/>
    <s v="Online"/>
    <s v="L"/>
    <d v="2013-06-26T00:00:00"/>
    <n v="569662845"/>
    <d v="2013-07-01T00:00:00"/>
    <n v="4750"/>
    <n v="255.28"/>
    <n v="159.41999999999999"/>
    <n v="1212580"/>
    <n v="757245"/>
    <n v="455335"/>
    <x v="44"/>
    <n v="2013"/>
    <x v="0"/>
    <n v="15503410.699999999"/>
    <n v="1512962.411538461"/>
    <n v="13"/>
  </r>
  <r>
    <x v="3"/>
    <s v="Cameroon"/>
    <s v="Office Supplies"/>
    <s v="Online"/>
    <s v="M"/>
    <d v="2011-11-07T00:00:00"/>
    <n v="177636754"/>
    <d v="2011-11-15T00:00:00"/>
    <n v="5518"/>
    <n v="651.21"/>
    <n v="524.96"/>
    <n v="3593376.78"/>
    <n v="2896729.28"/>
    <n v="696647.5"/>
    <x v="30"/>
    <n v="2011"/>
    <x v="2"/>
    <n v="14290830.699999999"/>
    <n v="1520867.2118421048"/>
    <n v="13"/>
  </r>
  <r>
    <x v="5"/>
    <s v="Libya"/>
    <s v="Clothes"/>
    <s v="Offline"/>
    <s v="H"/>
    <d v="2010-10-30T00:00:00"/>
    <n v="705784308"/>
    <d v="2010-11-17T00:00:00"/>
    <n v="6116"/>
    <n v="109.28"/>
    <n v="35.840000000000003"/>
    <n v="668356.48"/>
    <n v="219197.44"/>
    <n v="449159.04"/>
    <x v="45"/>
    <n v="2010"/>
    <x v="7"/>
    <n v="14290830.699999999"/>
    <n v="1464853.4397297297"/>
    <n v="12"/>
  </r>
  <r>
    <x v="1"/>
    <s v="Haiti"/>
    <s v="Cosmetics"/>
    <s v="Offline"/>
    <s v="H"/>
    <d v="2013-10-13T00:00:00"/>
    <n v="505716836"/>
    <d v="2013-11-16T00:00:00"/>
    <n v="1705"/>
    <n v="437.2"/>
    <n v="263.33"/>
    <n v="745426"/>
    <n v="448977.65"/>
    <n v="296448.34999999998"/>
    <x v="46"/>
    <n v="2013"/>
    <x v="8"/>
    <n v="14290830.699999999"/>
    <n v="1486978.3552777776"/>
    <n v="12"/>
  </r>
  <r>
    <x v="3"/>
    <s v="Rwanda"/>
    <s v="Cosmetics"/>
    <s v="Offline"/>
    <s v="H"/>
    <d v="2013-10-11T00:00:00"/>
    <n v="699358165"/>
    <d v="2013-11-25T00:00:00"/>
    <n v="4477"/>
    <n v="437.2"/>
    <n v="263.33"/>
    <n v="1957344.4"/>
    <n v="1178928.4099999999"/>
    <n v="778415.99"/>
    <x v="46"/>
    <n v="2013"/>
    <x v="8"/>
    <n v="14290830.699999999"/>
    <n v="1508165.5654285711"/>
    <n v="12"/>
  </r>
  <r>
    <x v="3"/>
    <s v="Gabon"/>
    <s v="Personal Care"/>
    <s v="Offline"/>
    <s v="L"/>
    <d v="2012-07-08T00:00:00"/>
    <n v="228944623"/>
    <d v="2012-07-09T00:00:00"/>
    <n v="8656"/>
    <n v="81.73"/>
    <n v="56.67"/>
    <n v="707454.88"/>
    <n v="490535.52"/>
    <n v="216919.36"/>
    <x v="7"/>
    <n v="2012"/>
    <x v="6"/>
    <n v="14290830.699999999"/>
    <n v="1494954.4232352937"/>
    <n v="11"/>
  </r>
  <r>
    <x v="1"/>
    <s v="Belize"/>
    <s v="Clothes"/>
    <s v="Offline"/>
    <s v="M"/>
    <d v="2016-07-25T00:00:00"/>
    <n v="807025039"/>
    <d v="2016-09-07T00:00:00"/>
    <n v="5498"/>
    <n v="109.28"/>
    <n v="35.840000000000003"/>
    <n v="600821.43999999994"/>
    <n v="197048.32000000001"/>
    <n v="403773.12"/>
    <x v="47"/>
    <n v="2016"/>
    <x v="7"/>
    <n v="14290830.699999999"/>
    <n v="1518818.0457575754"/>
    <n v="11"/>
  </r>
  <r>
    <x v="2"/>
    <s v="Lithuania"/>
    <s v="Office Supplies"/>
    <s v="Offline"/>
    <s v="H"/>
    <d v="2010-10-24T00:00:00"/>
    <n v="166460740"/>
    <d v="2010-11-17T00:00:00"/>
    <n v="8287"/>
    <n v="651.21"/>
    <n v="524.96"/>
    <n v="5396577.2699999996"/>
    <n v="4350343.5199999996"/>
    <n v="1046233.75"/>
    <x v="45"/>
    <n v="2010"/>
    <x v="2"/>
    <n v="14290830.699999999"/>
    <n v="1547505.4396874998"/>
    <n v="11"/>
  </r>
  <r>
    <x v="3"/>
    <s v="Madagascar"/>
    <s v="Clothes"/>
    <s v="Offline"/>
    <s v="L"/>
    <d v="2015-04-25T00:00:00"/>
    <n v="610425555"/>
    <d v="2015-05-28T00:00:00"/>
    <n v="7342"/>
    <n v="109.28"/>
    <n v="35.840000000000003"/>
    <n v="802333.76"/>
    <n v="263137.28000000003"/>
    <n v="539196.48"/>
    <x v="17"/>
    <n v="2015"/>
    <x v="7"/>
    <n v="8894253.4299999997"/>
    <n v="1423341.8322580645"/>
    <n v="10"/>
  </r>
  <r>
    <x v="4"/>
    <s v="Turkmenistan"/>
    <s v="Office Supplies"/>
    <s v="Online"/>
    <s v="M"/>
    <d v="2013-04-23T00:00:00"/>
    <n v="462405812"/>
    <d v="2013-05-20T00:00:00"/>
    <n v="5010"/>
    <n v="651.21"/>
    <n v="524.96"/>
    <n v="3262562.1"/>
    <n v="2630049.6"/>
    <n v="632512.5"/>
    <x v="48"/>
    <n v="2013"/>
    <x v="2"/>
    <n v="8894253.4299999997"/>
    <n v="1444042.1013333336"/>
    <n v="10"/>
  </r>
  <r>
    <x v="5"/>
    <s v="Libya"/>
    <s v="Fruits"/>
    <s v="Online"/>
    <s v="L"/>
    <d v="2015-08-14T00:00:00"/>
    <n v="816200339"/>
    <d v="2015-09-30T00:00:00"/>
    <n v="673"/>
    <n v="9.33"/>
    <n v="6.92"/>
    <n v="6279.09"/>
    <n v="4657.16"/>
    <n v="1621.93"/>
    <x v="49"/>
    <n v="2015"/>
    <x v="3"/>
    <n v="8894253.4299999997"/>
    <n v="1381334.5151724138"/>
    <n v="9"/>
  </r>
  <r>
    <x v="3"/>
    <s v="Democratic Republic of the Congo"/>
    <s v="Beverages"/>
    <s v="Online"/>
    <s v="C"/>
    <d v="2011-05-26T00:00:00"/>
    <n v="585920464"/>
    <d v="2011-07-15T00:00:00"/>
    <n v="5741"/>
    <n v="47.45"/>
    <n v="31.79"/>
    <n v="272410.45"/>
    <n v="182506.39"/>
    <n v="89904.06"/>
    <x v="50"/>
    <n v="2011"/>
    <x v="9"/>
    <n v="8894253.4299999997"/>
    <n v="1430443.6374999997"/>
    <n v="9"/>
  </r>
  <r>
    <x v="3"/>
    <s v="Djibouti"/>
    <s v="Cereal"/>
    <s v="Online"/>
    <s v="H"/>
    <d v="2017-05-20T00:00:00"/>
    <n v="555990016"/>
    <d v="2017-06-17T00:00:00"/>
    <n v="8656"/>
    <n v="205.7"/>
    <n v="117.11"/>
    <n v="1780539.2"/>
    <n v="1013704.16"/>
    <n v="766835.04"/>
    <x v="22"/>
    <n v="2017"/>
    <x v="1"/>
    <n v="8894253.4299999997"/>
    <n v="1473333.7555555557"/>
    <n v="9"/>
  </r>
  <r>
    <x v="5"/>
    <s v="Pakistan"/>
    <s v="Cosmetics"/>
    <s v="Offline"/>
    <s v="L"/>
    <d v="2013-07-05T00:00:00"/>
    <n v="231145322"/>
    <d v="2013-08-16T00:00:00"/>
    <n v="9892"/>
    <n v="437.2"/>
    <n v="263.33"/>
    <n v="4324782.4000000004"/>
    <n v="2604860.36"/>
    <n v="1719922.04"/>
    <x v="51"/>
    <n v="2013"/>
    <x v="8"/>
    <n v="8894253.4299999997"/>
    <n v="1461518.1615384617"/>
    <n v="8"/>
  </r>
  <r>
    <x v="6"/>
    <s v="Mexico"/>
    <s v="Household"/>
    <s v="Offline"/>
    <s v="C"/>
    <d v="2014-11-06T00:00:00"/>
    <n v="986435210"/>
    <d v="2014-12-12T00:00:00"/>
    <n v="6954"/>
    <n v="668.27"/>
    <n v="502.54"/>
    <n v="4647149.58"/>
    <n v="3494663.16"/>
    <n v="1152486.42"/>
    <x v="52"/>
    <n v="2014"/>
    <x v="4"/>
    <n v="8894253.4299999997"/>
    <n v="1346987.5919999999"/>
    <n v="7"/>
  </r>
  <r>
    <x v="0"/>
    <s v="Federated States of Micronesia"/>
    <s v="Beverages"/>
    <s v="Online"/>
    <s v="C"/>
    <d v="2014-10-28T00:00:00"/>
    <n v="217221009"/>
    <d v="2014-11-15T00:00:00"/>
    <n v="9379"/>
    <n v="47.45"/>
    <n v="31.79"/>
    <n v="445033.55"/>
    <n v="298158.40999999997"/>
    <n v="146875.14000000001"/>
    <x v="23"/>
    <n v="2014"/>
    <x v="9"/>
    <n v="8894253.4299999997"/>
    <n v="1209480.8425"/>
    <n v="6"/>
  </r>
  <r>
    <x v="4"/>
    <s v="Laos"/>
    <s v="Vegetables"/>
    <s v="Offline"/>
    <s v="C"/>
    <d v="2011-09-15T00:00:00"/>
    <n v="789176547"/>
    <d v="2011-10-23T00:00:00"/>
    <n v="3732"/>
    <n v="154.06"/>
    <n v="90.93"/>
    <n v="574951.92000000004"/>
    <n v="339350.76"/>
    <n v="235601.16"/>
    <x v="53"/>
    <n v="2011"/>
    <x v="5"/>
    <n v="8894253.4299999997"/>
    <n v="1242717.6813043479"/>
    <n v="6"/>
  </r>
  <r>
    <x v="2"/>
    <s v="Monaco"/>
    <s v="Baby Food"/>
    <s v="Offline"/>
    <s v="H"/>
    <d v="2012-05-29T00:00:00"/>
    <n v="688288152"/>
    <d v="2012-06-02T00:00:00"/>
    <n v="8614"/>
    <n v="255.28"/>
    <n v="159.41999999999999"/>
    <n v="2198981.92"/>
    <n v="1373243.88"/>
    <n v="825738.04"/>
    <x v="25"/>
    <n v="2012"/>
    <x v="0"/>
    <n v="8894253.4299999997"/>
    <n v="1273070.6704545456"/>
    <n v="6"/>
  </r>
  <r>
    <x v="0"/>
    <s v="Samoa"/>
    <s v="Cosmetics"/>
    <s v="Online"/>
    <s v="H"/>
    <d v="2013-07-20T00:00:00"/>
    <n v="670854651"/>
    <d v="2013-08-07T00:00:00"/>
    <n v="9654"/>
    <n v="437.2"/>
    <n v="263.33"/>
    <n v="4220728.8"/>
    <n v="2542187.8199999998"/>
    <n v="1678540.98"/>
    <x v="51"/>
    <n v="2013"/>
    <x v="8"/>
    <n v="6695271.5099999998"/>
    <n v="1228979.6585714286"/>
    <n v="5"/>
  </r>
  <r>
    <x v="2"/>
    <s v="Spain"/>
    <s v="Household"/>
    <s v="Offline"/>
    <s v="L"/>
    <d v="2012-10-21T00:00:00"/>
    <n v="213487374"/>
    <d v="2012-11-30T00:00:00"/>
    <n v="4513"/>
    <n v="668.27"/>
    <n v="502.54"/>
    <n v="3015902.51"/>
    <n v="2267963.02"/>
    <n v="747939.49"/>
    <x v="35"/>
    <n v="2012"/>
    <x v="4"/>
    <n v="6695271.5099999998"/>
    <n v="1079392.2015"/>
    <n v="4"/>
  </r>
  <r>
    <x v="5"/>
    <s v="Lebanon"/>
    <s v="Clothes"/>
    <s v="Online"/>
    <s v="L"/>
    <d v="2012-09-18T00:00:00"/>
    <n v="663110148"/>
    <d v="2012-10-08T00:00:00"/>
    <n v="7884"/>
    <n v="109.28"/>
    <n v="35.840000000000003"/>
    <n v="861563.52"/>
    <n v="282562.56"/>
    <n v="579000.96"/>
    <x v="26"/>
    <n v="2012"/>
    <x v="7"/>
    <n v="3679369"/>
    <n v="977470.6063157894"/>
    <n v="3"/>
  </r>
  <r>
    <x v="5"/>
    <s v="Iran"/>
    <s v="Cosmetics"/>
    <s v="Online"/>
    <s v="H"/>
    <d v="2016-11-15T00:00:00"/>
    <n v="286959302"/>
    <d v="2016-12-08T00:00:00"/>
    <n v="6489"/>
    <n v="437.2"/>
    <n v="263.33"/>
    <n v="2836990.8"/>
    <n v="1708748.37"/>
    <n v="1128242.43"/>
    <x v="16"/>
    <n v="2016"/>
    <x v="8"/>
    <n v="3679369"/>
    <n v="983909.88888888888"/>
    <n v="3"/>
  </r>
  <r>
    <x v="3"/>
    <s v="Zambia"/>
    <s v="Snacks"/>
    <s v="Online"/>
    <s v="L"/>
    <d v="2011-01-04T00:00:00"/>
    <n v="122583663"/>
    <d v="2011-01-05T00:00:00"/>
    <n v="4085"/>
    <n v="152.58000000000001"/>
    <n v="97.44"/>
    <n v="623289.30000000005"/>
    <n v="398042.4"/>
    <n v="225246.9"/>
    <x v="54"/>
    <n v="2011"/>
    <x v="11"/>
    <n v="3679369"/>
    <n v="874905.12941176456"/>
    <n v="2"/>
  </r>
  <r>
    <x v="3"/>
    <s v="Kenya"/>
    <s v="Vegetables"/>
    <s v="Online"/>
    <s v="L"/>
    <d v="2012-03-18T00:00:00"/>
    <n v="827844560"/>
    <d v="2012-04-07T00:00:00"/>
    <n v="6457"/>
    <n v="154.06"/>
    <n v="90.93"/>
    <n v="994765.42"/>
    <n v="587135.01"/>
    <n v="407630.41"/>
    <x v="55"/>
    <n v="2012"/>
    <x v="5"/>
    <n v="3679369"/>
    <n v="890631.11874999991"/>
    <n v="2"/>
  </r>
  <r>
    <x v="6"/>
    <s v="Mexico"/>
    <s v="Personal Care"/>
    <s v="Offline"/>
    <s v="L"/>
    <d v="2012-02-17T00:00:00"/>
    <n v="430915820"/>
    <d v="2012-03-20T00:00:00"/>
    <n v="6422"/>
    <n v="81.73"/>
    <n v="56.67"/>
    <n v="524870.06000000006"/>
    <n v="363934.74"/>
    <n v="160935.32"/>
    <x v="31"/>
    <n v="2012"/>
    <x v="6"/>
    <n v="3679369"/>
    <n v="883688.83199999994"/>
    <n v="2"/>
  </r>
  <r>
    <x v="3"/>
    <s v="Sao Tome and Principe"/>
    <s v="Beverages"/>
    <s v="Offline"/>
    <s v="C"/>
    <d v="2011-01-16T00:00:00"/>
    <n v="180283772"/>
    <d v="2011-01-21T00:00:00"/>
    <n v="8829"/>
    <n v="47.45"/>
    <n v="31.79"/>
    <n v="418936.05"/>
    <n v="280673.90999999997"/>
    <n v="138262.14000000001"/>
    <x v="54"/>
    <n v="2011"/>
    <x v="9"/>
    <n v="3679369"/>
    <n v="909318.74428571423"/>
    <n v="2"/>
  </r>
  <r>
    <x v="3"/>
    <s v="The Gambia"/>
    <s v="Baby Food"/>
    <s v="Offline"/>
    <s v="M"/>
    <d v="2014-02-03T00:00:00"/>
    <n v="494747245"/>
    <d v="2014-03-20T00:00:00"/>
    <n v="5559"/>
    <n v="255.28"/>
    <n v="159.41999999999999"/>
    <n v="1419101.52"/>
    <n v="886215.78"/>
    <n v="532885.74"/>
    <x v="14"/>
    <n v="2014"/>
    <x v="0"/>
    <n v="3679369"/>
    <n v="947040.49"/>
    <n v="2"/>
  </r>
  <r>
    <x v="5"/>
    <s v="Kuwait"/>
    <s v="Fruits"/>
    <s v="Online"/>
    <s v="M"/>
    <d v="2012-04-30T00:00:00"/>
    <n v="513417565"/>
    <d v="2012-05-18T00:00:00"/>
    <n v="522"/>
    <n v="9.33"/>
    <n v="6.92"/>
    <n v="4870.26"/>
    <n v="3612.24"/>
    <n v="1258.02"/>
    <x v="15"/>
    <n v="2012"/>
    <x v="3"/>
    <n v="3679369"/>
    <n v="907702.0708333333"/>
    <n v="2"/>
  </r>
  <r>
    <x v="2"/>
    <s v="Slovenia"/>
    <s v="Beverages"/>
    <s v="Offline"/>
    <s v="C"/>
    <d v="2016-10-23T00:00:00"/>
    <n v="345718562"/>
    <d v="2016-11-25T00:00:00"/>
    <n v="4660"/>
    <n v="47.45"/>
    <n v="31.79"/>
    <n v="221117"/>
    <n v="148141.4"/>
    <n v="72975.600000000006"/>
    <x v="56"/>
    <n v="2016"/>
    <x v="9"/>
    <n v="3679369"/>
    <n v="989777.69"/>
    <n v="2"/>
  </r>
  <r>
    <x v="3"/>
    <s v="Sierra Leone"/>
    <s v="Office Supplies"/>
    <s v="Offline"/>
    <s v="H"/>
    <d v="2016-12-06T00:00:00"/>
    <n v="621386563"/>
    <d v="2016-12-14T00:00:00"/>
    <n v="948"/>
    <n v="651.21"/>
    <n v="524.96"/>
    <n v="617347.07999999996"/>
    <n v="497662.08"/>
    <n v="119685"/>
    <x v="38"/>
    <n v="2016"/>
    <x v="2"/>
    <n v="3458252"/>
    <n v="1066643.7590000001"/>
    <n v="2"/>
  </r>
  <r>
    <x v="0"/>
    <s v="Australia"/>
    <s v="Beverages"/>
    <s v="Offline"/>
    <s v="H"/>
    <d v="2014-07-07T00:00:00"/>
    <n v="240470397"/>
    <d v="2014-07-11T00:00:00"/>
    <n v="9389"/>
    <n v="47.45"/>
    <n v="31.79"/>
    <n v="445508.05"/>
    <n v="298476.31"/>
    <n v="147031.74"/>
    <x v="24"/>
    <n v="2014"/>
    <x v="9"/>
    <n v="3458252"/>
    <n v="1116565.6122222221"/>
    <n v="2"/>
  </r>
  <r>
    <x v="5"/>
    <s v="Azerbaijan"/>
    <s v="Office Supplies"/>
    <s v="Online"/>
    <s v="M"/>
    <d v="2012-06-13T00:00:00"/>
    <n v="423331391"/>
    <d v="2012-07-24T00:00:00"/>
    <n v="2021"/>
    <n v="651.21"/>
    <n v="524.96"/>
    <n v="1316095.4099999999"/>
    <n v="1060944.1599999999"/>
    <n v="255151.25"/>
    <x v="34"/>
    <n v="2012"/>
    <x v="2"/>
    <n v="3458252"/>
    <n v="1200447.8075000001"/>
    <n v="2"/>
  </r>
  <r>
    <x v="2"/>
    <s v="Romania"/>
    <s v="Cosmetics"/>
    <s v="Online"/>
    <s v="H"/>
    <d v="2010-11-26T00:00:00"/>
    <n v="660643374"/>
    <d v="2010-12-25T00:00:00"/>
    <n v="7910"/>
    <n v="437.2"/>
    <n v="263.33"/>
    <n v="3458252"/>
    <n v="2082940.3"/>
    <n v="1375311.7"/>
    <x v="57"/>
    <n v="2010"/>
    <x v="8"/>
    <n v="3458252"/>
    <n v="1183926.7214285715"/>
    <n v="2"/>
  </r>
  <r>
    <x v="1"/>
    <s v="Nicaragua"/>
    <s v="Beverages"/>
    <s v="Offline"/>
    <s v="C"/>
    <d v="2011-02-08T00:00:00"/>
    <n v="963392674"/>
    <d v="2011-03-21T00:00:00"/>
    <n v="8156"/>
    <n v="47.45"/>
    <n v="31.79"/>
    <n v="387002.2"/>
    <n v="259279.24"/>
    <n v="127722.96"/>
    <x v="58"/>
    <n v="2011"/>
    <x v="9"/>
    <n v="0"/>
    <n v="804872.5083333333"/>
    <n v="1"/>
  </r>
  <r>
    <x v="3"/>
    <s v="Mali"/>
    <s v="Clothes"/>
    <s v="Online"/>
    <s v="M"/>
    <d v="2011-07-26T00:00:00"/>
    <n v="512878119"/>
    <d v="2011-09-03T00:00:00"/>
    <n v="888"/>
    <n v="109.28"/>
    <n v="35.840000000000003"/>
    <n v="97040.639999999999"/>
    <n v="31825.919999999998"/>
    <n v="65214.720000000001"/>
    <x v="59"/>
    <n v="2011"/>
    <x v="7"/>
    <n v="0"/>
    <n v="888446.57"/>
    <n v="1"/>
  </r>
  <r>
    <x v="4"/>
    <s v="Malaysia"/>
    <s v="Fruits"/>
    <s v="Offline"/>
    <s v="L"/>
    <d v="2011-11-11T00:00:00"/>
    <n v="810711038"/>
    <d v="2011-12-28T00:00:00"/>
    <n v="6267"/>
    <n v="9.33"/>
    <n v="6.92"/>
    <n v="58471.11"/>
    <n v="43367.64"/>
    <n v="15103.47"/>
    <x v="30"/>
    <n v="2011"/>
    <x v="3"/>
    <n v="0"/>
    <n v="1086298.0525"/>
    <n v="1"/>
  </r>
  <r>
    <x v="3"/>
    <s v="Sierra Leone"/>
    <s v="Vegetables"/>
    <s v="Offline"/>
    <s v="C"/>
    <d v="2016-06-01T00:00:00"/>
    <n v="728815257"/>
    <d v="2016-06-29T00:00:00"/>
    <n v="1485"/>
    <n v="154.06"/>
    <n v="90.93"/>
    <n v="228779.1"/>
    <n v="135031.04999999999"/>
    <n v="93748.05"/>
    <x v="19"/>
    <n v="2016"/>
    <x v="5"/>
    <n v="0"/>
    <n v="1428907.0333333332"/>
    <n v="1"/>
  </r>
  <r>
    <x v="6"/>
    <s v="Mexico"/>
    <s v="Personal Care"/>
    <s v="Offline"/>
    <s v="M"/>
    <d v="2015-07-30T00:00:00"/>
    <n v="559427106"/>
    <d v="2015-08-08T00:00:00"/>
    <n v="5767"/>
    <n v="81.73"/>
    <n v="56.67"/>
    <n v="471336.91"/>
    <n v="326815.89"/>
    <n v="144521.01999999999"/>
    <x v="8"/>
    <n v="2015"/>
    <x v="6"/>
    <n v="0"/>
    <n v="2028971"/>
    <n v="1"/>
  </r>
  <r>
    <x v="3"/>
    <s v="Mozambique"/>
    <s v="Household"/>
    <s v="Offline"/>
    <s v="L"/>
    <d v="2012-02-10T00:00:00"/>
    <n v="665095412"/>
    <d v="2012-02-15T00:00:00"/>
    <n v="5367"/>
    <n v="668.27"/>
    <n v="502.54"/>
    <n v="3586605.09"/>
    <n v="2697132.18"/>
    <n v="889472.91"/>
    <x v="31"/>
    <n v="2012"/>
    <x v="4"/>
    <n v="0"/>
    <n v="3586605.0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 Table 6" cacheId="6" applyNumberFormats="0" applyBorderFormats="0" applyFontFormats="0" applyPatternFormats="0" applyAlignmentFormats="0" applyWidthHeightFormats="0" dataCaption="" updatedVersion="8" compact="0" compactData="0">
  <location ref="A1:B9" firstHeaderRow="1" firstDataRow="1" firstDataCol="1"/>
  <pivotFields count="20">
    <pivotField name="Region" axis="axisRow" compact="0" outline="0" multipleItemSelectionAllowed="1" showAll="0" sortType="ascending">
      <items count="8">
        <item x="4"/>
        <item x="0"/>
        <item x="1"/>
        <item x="2"/>
        <item x="5"/>
        <item x="6"/>
        <item x="3"/>
        <item t="default"/>
      </items>
    </pivotField>
    <pivotField name="Country" compact="0" outline="0" multipleItemSelectionAllowed="1" showAll="0"/>
    <pivotField name="Item Type" compact="0" outline="0" multipleItemSelectionAllowed="1" showAll="0"/>
    <pivotField name="Sales Channel" compact="0" outline="0" multipleItemSelectionAllowed="1" showAll="0"/>
    <pivotField name="Order Priority" compact="0" outline="0" multipleItemSelectionAllowed="1" showAll="0"/>
    <pivotField name="Order Date" compact="0" numFmtId="164" outline="0" multipleItemSelectionAllowed="1" showAll="0"/>
    <pivotField name="Order ID" compact="0" outline="0" multipleItemSelectionAllowed="1" showAll="0"/>
    <pivotField name="Ship Date" compact="0" numFmtId="164" outline="0" multipleItemSelectionAllowed="1" showAll="0"/>
    <pivotField name="Units Sold" compact="0" outline="0" multipleItemSelectionAllowed="1" showAll="0"/>
    <pivotField name="Unit Price" compact="0" outline="0" multipleItemSelectionAllowed="1" showAll="0"/>
    <pivotField name="Unit Cost" compact="0" outline="0" multipleItemSelectionAllowed="1" showAll="0"/>
    <pivotField name="Total Revenue" dataField="1" compact="0" outline="0" multipleItemSelectionAllowed="1" showAll="0"/>
    <pivotField name="Total Cost" compact="0" outline="0" multipleItemSelectionAllowed="1" showAll="0"/>
    <pivotField name="Total Profit" compact="0" outline="0" multipleItemSelectionAllowed="1" showAll="0"/>
    <pivotField name="Month" compact="0" numFmtId="164" outline="0" multipleItemSelectionAllowed="1" showAll="0"/>
    <pivotField name="Year" compact="0" outline="0" multipleItemSelectionAllowed="1" showAll="0"/>
    <pivotField name="Category" compact="0" outline="0" multipleItemSelectionAllowed="1" showAll="0"/>
    <pivotField name="Total Revenue in Europe" compact="0" outline="0" multipleItemSelectionAllowed="1" showAll="0"/>
    <pivotField name="Average Total Revenue" compact="0" outline="0" multipleItemSelectionAllowed="1" showAll="0"/>
    <pivotField name="Numbers of orders above 1.500.000" compact="0" outline="0" multipleItemSelectionAllowe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Revenue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 Table 6 2" cacheId="6" applyNumberFormats="0" applyBorderFormats="0" applyFontFormats="0" applyPatternFormats="0" applyAlignmentFormats="0" applyWidthHeightFormats="0" dataCaption="" updatedVersion="8" compact="0" compactData="0">
  <location ref="C1:D62" firstHeaderRow="1" firstDataRow="1" firstDataCol="1"/>
  <pivotFields count="20">
    <pivotField name="Region" compact="0" outline="0" multipleItemSelectionAllowed="1" showAll="0"/>
    <pivotField name="Country" compact="0" outline="0" multipleItemSelectionAllowed="1" showAll="0"/>
    <pivotField name="Item Type" compact="0" outline="0" multipleItemSelectionAllowed="1" showAll="0"/>
    <pivotField name="Sales Channel" compact="0" outline="0" multipleItemSelectionAllowed="1" showAll="0"/>
    <pivotField name="Order Priority" compact="0" outline="0" multipleItemSelectionAllowed="1" showAll="0"/>
    <pivotField name="Order Date" compact="0" numFmtId="164" outline="0" multipleItemSelectionAllowed="1" showAll="0"/>
    <pivotField name="Order ID" compact="0" outline="0" multipleItemSelectionAllowed="1" showAll="0"/>
    <pivotField name="Ship Date" compact="0" numFmtId="164" outline="0" multipleItemSelectionAllowed="1" showAll="0"/>
    <pivotField name="Units Sold" compact="0" outline="0" multipleItemSelectionAllowed="1" showAll="0"/>
    <pivotField name="Unit Price" compact="0" outline="0" multipleItemSelectionAllowed="1" showAll="0"/>
    <pivotField name="Unit Cost" compact="0" outline="0" multipleItemSelectionAllowed="1" showAll="0"/>
    <pivotField name="Total Revenue" dataField="1" compact="0" outline="0" multipleItemSelectionAllowed="1" showAll="0"/>
    <pivotField name="Total Cost" compact="0" outline="0" multipleItemSelectionAllowed="1" showAll="0"/>
    <pivotField name="Total Profit" compact="0" outline="0" multipleItemSelectionAllowed="1" showAll="0"/>
    <pivotField name="Month" axis="axisRow" compact="0" numFmtId="164" outline="0" multipleItemSelectionAllowed="1" showAll="0" sortType="ascending">
      <items count="61">
        <item x="33"/>
        <item x="0"/>
        <item x="43"/>
        <item x="45"/>
        <item x="57"/>
        <item x="18"/>
        <item x="54"/>
        <item x="58"/>
        <item x="6"/>
        <item x="50"/>
        <item x="10"/>
        <item x="59"/>
        <item x="53"/>
        <item x="30"/>
        <item x="39"/>
        <item x="31"/>
        <item x="55"/>
        <item x="15"/>
        <item x="25"/>
        <item x="34"/>
        <item x="7"/>
        <item x="1"/>
        <item x="26"/>
        <item x="35"/>
        <item x="4"/>
        <item x="41"/>
        <item x="48"/>
        <item x="44"/>
        <item x="51"/>
        <item x="40"/>
        <item x="42"/>
        <item x="46"/>
        <item x="27"/>
        <item x="14"/>
        <item x="9"/>
        <item x="2"/>
        <item x="3"/>
        <item x="24"/>
        <item x="11"/>
        <item x="20"/>
        <item x="23"/>
        <item x="52"/>
        <item x="29"/>
        <item x="5"/>
        <item x="17"/>
        <item x="8"/>
        <item x="49"/>
        <item x="28"/>
        <item x="36"/>
        <item x="37"/>
        <item x="21"/>
        <item x="19"/>
        <item x="47"/>
        <item x="56"/>
        <item x="16"/>
        <item x="38"/>
        <item x="12"/>
        <item x="13"/>
        <item x="32"/>
        <item x="22"/>
        <item t="default"/>
      </items>
    </pivotField>
    <pivotField name="Year" compact="0" outline="0" multipleItemSelectionAllowed="1" showAll="0"/>
    <pivotField name="Category" compact="0" outline="0" multipleItemSelectionAllowed="1" showAll="0"/>
    <pivotField name="Total Revenue in Europe" compact="0" outline="0" multipleItemSelectionAllowed="1" showAll="0"/>
    <pivotField name="Average Total Revenue" compact="0" outline="0" multipleItemSelectionAllowed="1" showAll="0"/>
    <pivotField name="Numbers of orders above 1.500.000" compact="0" outline="0" multipleItemSelectionAllowed="1" showAll="0"/>
  </pivotFields>
  <rowFields count="1">
    <field x="14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Total Revenue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6 3" cacheId="6" applyNumberFormats="0" applyBorderFormats="0" applyFontFormats="0" applyPatternFormats="0" applyAlignmentFormats="0" applyWidthHeightFormats="0" dataCaption="" updatedVersion="8" compact="0" compactData="0">
  <location ref="E1:F14" firstHeaderRow="1" firstDataRow="1" firstDataCol="1"/>
  <pivotFields count="20">
    <pivotField name="Region" compact="0" outline="0" multipleItemSelectionAllowed="1" showAll="0"/>
    <pivotField name="Country" compact="0" outline="0" multipleItemSelectionAllowed="1" showAll="0"/>
    <pivotField name="Item Type" compact="0" outline="0" multipleItemSelectionAllowed="1" showAll="0"/>
    <pivotField name="Sales Channel" compact="0" outline="0" multipleItemSelectionAllowed="1" showAll="0"/>
    <pivotField name="Order Priority" compact="0" outline="0" multipleItemSelectionAllowed="1" showAll="0"/>
    <pivotField name="Order Date" compact="0" numFmtId="164" outline="0" multipleItemSelectionAllowed="1" showAll="0"/>
    <pivotField name="Order ID" compact="0" outline="0" multipleItemSelectionAllowed="1" showAll="0"/>
    <pivotField name="Ship Date" compact="0" numFmtId="164" outline="0" multipleItemSelectionAllowed="1" showAll="0"/>
    <pivotField name="Units Sold" compact="0" outline="0" multipleItemSelectionAllowed="1" showAll="0"/>
    <pivotField name="Unit Price" compact="0" outline="0" multipleItemSelectionAllowed="1" showAll="0"/>
    <pivotField name="Unit Cost" compact="0" outline="0" multipleItemSelectionAllowed="1" showAll="0"/>
    <pivotField name="Total Revenue" dataField="1" compact="0" outline="0" multipleItemSelectionAllowed="1" showAll="0"/>
    <pivotField name="Total Cost" compact="0" outline="0" multipleItemSelectionAllowed="1" showAll="0"/>
    <pivotField name="Total Profit" compact="0" outline="0" multipleItemSelectionAllowed="1" showAll="0"/>
    <pivotField name="Month" compact="0" numFmtId="164" outline="0" multipleItemSelectionAllowed="1" showAll="0"/>
    <pivotField name="Year" compact="0" outline="0" multipleItemSelectionAllowed="1" showAll="0"/>
    <pivotField name="Category" axis="axisRow" compact="0" outline="0" multipleItemSelectionAllowed="1" showAll="0" sortType="ascending">
      <items count="13">
        <item x="0"/>
        <item x="9"/>
        <item x="1"/>
        <item x="7"/>
        <item x="8"/>
        <item x="3"/>
        <item x="4"/>
        <item x="10"/>
        <item x="2"/>
        <item x="6"/>
        <item x="11"/>
        <item x="5"/>
        <item t="default"/>
      </items>
    </pivotField>
    <pivotField name="Total Revenue in Europe" compact="0" outline="0" multipleItemSelectionAllowed="1" showAll="0"/>
    <pivotField name="Average Total Revenue" compact="0" outline="0" multipleItemSelectionAllowed="1" showAll="0"/>
    <pivotField name="Numbers of orders above 1.500.000" compact="0" outline="0" multipleItemSelectionAllowed="1" showAll="0"/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Revenue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topLeftCell="N3" workbookViewId="0"/>
  </sheetViews>
  <sheetFormatPr defaultColWidth="12.6640625" defaultRowHeight="15.75" customHeight="1" x14ac:dyDescent="0.25"/>
  <cols>
    <col min="1" max="1" width="19.88671875" customWidth="1"/>
    <col min="2" max="2" width="17" customWidth="1"/>
    <col min="3" max="3" width="18" customWidth="1"/>
    <col min="17" max="17" width="18" customWidth="1"/>
    <col min="18" max="18" width="20.109375" customWidth="1"/>
    <col min="19" max="19" width="20.44140625" customWidth="1"/>
    <col min="20" max="20" width="29.218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3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2">
        <v>40326</v>
      </c>
      <c r="G2" s="1">
        <v>669165933</v>
      </c>
      <c r="H2" s="2">
        <v>40356</v>
      </c>
      <c r="I2" s="1">
        <v>9925</v>
      </c>
      <c r="J2" s="1">
        <v>255.28</v>
      </c>
      <c r="K2" s="1">
        <v>159.41999999999999</v>
      </c>
      <c r="L2" s="1">
        <v>2533654</v>
      </c>
      <c r="M2" s="1">
        <v>1582243.5</v>
      </c>
      <c r="N2" s="1">
        <v>951410.5</v>
      </c>
      <c r="O2" s="4" t="str">
        <f t="shared" ref="O2:O101" si="0">TEXT(F2,"yyyy-mm")</f>
        <v>2010-05</v>
      </c>
      <c r="P2" s="3">
        <f t="shared" ref="P2:P101" si="1">YEAR(F2)</f>
        <v>2010</v>
      </c>
      <c r="Q2" s="1" t="s">
        <v>22</v>
      </c>
      <c r="R2" s="3">
        <f t="shared" ref="R2:R101" si="2">SUMIF(A2:A101,"Europe",L2:L101)</f>
        <v>33368932.109999999</v>
      </c>
      <c r="S2" s="1">
        <f t="shared" ref="S2:S101" si="3">AVERAGE(L2:L101)</f>
        <v>1373487.6830999998</v>
      </c>
      <c r="T2" s="1">
        <f t="shared" ref="T2:T101" si="4">COUNTIF(L2:L101,"&gt;1500000")</f>
        <v>32</v>
      </c>
    </row>
    <row r="3" spans="1:20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2">
        <v>41143</v>
      </c>
      <c r="G3" s="1">
        <v>963881480</v>
      </c>
      <c r="H3" s="2">
        <v>41167</v>
      </c>
      <c r="I3" s="1">
        <v>2804</v>
      </c>
      <c r="J3" s="1">
        <v>205.7</v>
      </c>
      <c r="K3" s="1">
        <v>117.11</v>
      </c>
      <c r="L3" s="1">
        <v>576782.80000000005</v>
      </c>
      <c r="M3" s="1">
        <v>328376.44</v>
      </c>
      <c r="N3" s="1">
        <v>248406.36</v>
      </c>
      <c r="O3" s="4" t="str">
        <f t="shared" si="0"/>
        <v>2012-08</v>
      </c>
      <c r="P3" s="3">
        <f t="shared" si="1"/>
        <v>2012</v>
      </c>
      <c r="Q3" s="1" t="s">
        <v>27</v>
      </c>
      <c r="R3" s="3">
        <f t="shared" si="2"/>
        <v>33368932.109999999</v>
      </c>
      <c r="S3" s="1">
        <f t="shared" si="3"/>
        <v>1361768.8314141415</v>
      </c>
      <c r="T3" s="1">
        <f t="shared" si="4"/>
        <v>31</v>
      </c>
    </row>
    <row r="4" spans="1:20" x14ac:dyDescent="0.25">
      <c r="A4" s="1" t="s">
        <v>30</v>
      </c>
      <c r="B4" s="1" t="s">
        <v>31</v>
      </c>
      <c r="C4" s="1" t="s">
        <v>32</v>
      </c>
      <c r="D4" s="1" t="s">
        <v>23</v>
      </c>
      <c r="E4" s="1" t="s">
        <v>33</v>
      </c>
      <c r="F4" s="2">
        <v>41761</v>
      </c>
      <c r="G4" s="1">
        <v>341417157</v>
      </c>
      <c r="H4" s="2">
        <v>41767</v>
      </c>
      <c r="I4" s="1">
        <v>1779</v>
      </c>
      <c r="J4" s="1">
        <v>651.21</v>
      </c>
      <c r="K4" s="1">
        <v>524.96</v>
      </c>
      <c r="L4" s="1">
        <v>1158502.5900000001</v>
      </c>
      <c r="M4" s="1">
        <v>933903.84</v>
      </c>
      <c r="N4" s="1">
        <v>224598.75</v>
      </c>
      <c r="O4" s="4" t="str">
        <f t="shared" si="0"/>
        <v>2014-05</v>
      </c>
      <c r="P4" s="3">
        <f t="shared" si="1"/>
        <v>2014</v>
      </c>
      <c r="Q4" s="1" t="s">
        <v>32</v>
      </c>
      <c r="R4" s="3">
        <f t="shared" si="2"/>
        <v>33368932.109999999</v>
      </c>
      <c r="S4" s="1">
        <f t="shared" si="3"/>
        <v>1369778.8929591835</v>
      </c>
      <c r="T4" s="1">
        <f t="shared" si="4"/>
        <v>31</v>
      </c>
    </row>
    <row r="5" spans="1:20" x14ac:dyDescent="0.25">
      <c r="A5" s="1" t="s">
        <v>34</v>
      </c>
      <c r="B5" s="1" t="s">
        <v>35</v>
      </c>
      <c r="C5" s="1" t="s">
        <v>36</v>
      </c>
      <c r="D5" s="1" t="s">
        <v>28</v>
      </c>
      <c r="E5" s="1" t="s">
        <v>29</v>
      </c>
      <c r="F5" s="2">
        <v>41810</v>
      </c>
      <c r="G5" s="1">
        <v>514321792</v>
      </c>
      <c r="H5" s="2">
        <v>41825</v>
      </c>
      <c r="I5" s="1">
        <v>8102</v>
      </c>
      <c r="J5" s="1">
        <v>9.33</v>
      </c>
      <c r="K5" s="1">
        <v>6.92</v>
      </c>
      <c r="L5" s="1">
        <v>75591.66</v>
      </c>
      <c r="M5" s="1">
        <v>56065.84</v>
      </c>
      <c r="N5" s="1">
        <v>19525.82</v>
      </c>
      <c r="O5" s="4" t="str">
        <f t="shared" si="0"/>
        <v>2014-06</v>
      </c>
      <c r="P5" s="3">
        <f t="shared" si="1"/>
        <v>2014</v>
      </c>
      <c r="Q5" s="1" t="s">
        <v>36</v>
      </c>
      <c r="R5" s="3">
        <f t="shared" si="2"/>
        <v>32210429.519999996</v>
      </c>
      <c r="S5" s="1">
        <f t="shared" si="3"/>
        <v>1371956.9991752577</v>
      </c>
      <c r="T5" s="1">
        <f t="shared" si="4"/>
        <v>31</v>
      </c>
    </row>
    <row r="6" spans="1:20" x14ac:dyDescent="0.25">
      <c r="A6" s="1" t="s">
        <v>34</v>
      </c>
      <c r="B6" s="1" t="s">
        <v>37</v>
      </c>
      <c r="C6" s="1" t="s">
        <v>32</v>
      </c>
      <c r="D6" s="1" t="s">
        <v>23</v>
      </c>
      <c r="E6" s="1" t="s">
        <v>33</v>
      </c>
      <c r="F6" s="2">
        <v>41306</v>
      </c>
      <c r="G6" s="1">
        <v>115456712</v>
      </c>
      <c r="H6" s="2">
        <v>41311</v>
      </c>
      <c r="I6" s="1">
        <v>5062</v>
      </c>
      <c r="J6" s="1">
        <v>651.21</v>
      </c>
      <c r="K6" s="1">
        <v>524.96</v>
      </c>
      <c r="L6" s="1">
        <v>3296425.02</v>
      </c>
      <c r="M6" s="1">
        <v>2657347.52</v>
      </c>
      <c r="N6" s="1">
        <v>639077.5</v>
      </c>
      <c r="O6" s="4" t="str">
        <f t="shared" si="0"/>
        <v>2013-02</v>
      </c>
      <c r="P6" s="3">
        <f t="shared" si="1"/>
        <v>2013</v>
      </c>
      <c r="Q6" s="1" t="s">
        <v>32</v>
      </c>
      <c r="R6" s="3">
        <f t="shared" si="2"/>
        <v>32210429.519999996</v>
      </c>
      <c r="S6" s="1">
        <f t="shared" si="3"/>
        <v>1385460.8047916668</v>
      </c>
      <c r="T6" s="1">
        <f t="shared" si="4"/>
        <v>31</v>
      </c>
    </row>
    <row r="7" spans="1:20" x14ac:dyDescent="0.25">
      <c r="A7" s="1" t="s">
        <v>20</v>
      </c>
      <c r="B7" s="1" t="s">
        <v>38</v>
      </c>
      <c r="C7" s="1" t="s">
        <v>22</v>
      </c>
      <c r="D7" s="1" t="s">
        <v>28</v>
      </c>
      <c r="E7" s="1" t="s">
        <v>29</v>
      </c>
      <c r="F7" s="2">
        <v>42039</v>
      </c>
      <c r="G7" s="1">
        <v>547995746</v>
      </c>
      <c r="H7" s="2">
        <v>42056</v>
      </c>
      <c r="I7" s="1">
        <v>2974</v>
      </c>
      <c r="J7" s="1">
        <v>255.28</v>
      </c>
      <c r="K7" s="1">
        <v>159.41999999999999</v>
      </c>
      <c r="L7" s="1">
        <v>759202.72</v>
      </c>
      <c r="M7" s="1">
        <v>474115.08</v>
      </c>
      <c r="N7" s="1">
        <v>285087.64</v>
      </c>
      <c r="O7" s="4" t="str">
        <f t="shared" si="0"/>
        <v>2015-02</v>
      </c>
      <c r="P7" s="3">
        <f t="shared" si="1"/>
        <v>2015</v>
      </c>
      <c r="Q7" s="1" t="s">
        <v>22</v>
      </c>
      <c r="R7" s="3">
        <f t="shared" si="2"/>
        <v>32210429.519999996</v>
      </c>
      <c r="S7" s="1">
        <f t="shared" si="3"/>
        <v>1365345.392</v>
      </c>
      <c r="T7" s="1">
        <f t="shared" si="4"/>
        <v>30</v>
      </c>
    </row>
    <row r="8" spans="1:20" x14ac:dyDescent="0.25">
      <c r="A8" s="1" t="s">
        <v>34</v>
      </c>
      <c r="B8" s="1" t="s">
        <v>39</v>
      </c>
      <c r="C8" s="1" t="s">
        <v>40</v>
      </c>
      <c r="D8" s="1" t="s">
        <v>23</v>
      </c>
      <c r="E8" s="1" t="s">
        <v>41</v>
      </c>
      <c r="F8" s="2">
        <v>40656</v>
      </c>
      <c r="G8" s="1">
        <v>135425221</v>
      </c>
      <c r="H8" s="2">
        <v>40660</v>
      </c>
      <c r="I8" s="1">
        <v>4187</v>
      </c>
      <c r="J8" s="1">
        <v>668.27</v>
      </c>
      <c r="K8" s="1">
        <v>502.54</v>
      </c>
      <c r="L8" s="1">
        <v>2798046.49</v>
      </c>
      <c r="M8" s="1">
        <v>2104134.98</v>
      </c>
      <c r="N8" s="1">
        <v>693911.51</v>
      </c>
      <c r="O8" s="4" t="str">
        <f t="shared" si="0"/>
        <v>2011-04</v>
      </c>
      <c r="P8" s="3">
        <f t="shared" si="1"/>
        <v>2011</v>
      </c>
      <c r="Q8" s="1" t="s">
        <v>40</v>
      </c>
      <c r="R8" s="3">
        <f t="shared" si="2"/>
        <v>32210429.519999996</v>
      </c>
      <c r="S8" s="1">
        <f t="shared" si="3"/>
        <v>1371793.7182978722</v>
      </c>
      <c r="T8" s="1">
        <f t="shared" si="4"/>
        <v>30</v>
      </c>
    </row>
    <row r="9" spans="1:20" x14ac:dyDescent="0.25">
      <c r="A9" s="1" t="s">
        <v>34</v>
      </c>
      <c r="B9" s="1" t="s">
        <v>42</v>
      </c>
      <c r="C9" s="1" t="s">
        <v>43</v>
      </c>
      <c r="D9" s="1" t="s">
        <v>28</v>
      </c>
      <c r="E9" s="1" t="s">
        <v>24</v>
      </c>
      <c r="F9" s="2">
        <v>41107</v>
      </c>
      <c r="G9" s="1">
        <v>871543967</v>
      </c>
      <c r="H9" s="2">
        <v>41117</v>
      </c>
      <c r="I9" s="1">
        <v>8082</v>
      </c>
      <c r="J9" s="1">
        <v>154.06</v>
      </c>
      <c r="K9" s="1">
        <v>90.93</v>
      </c>
      <c r="L9" s="1">
        <v>1245112.92</v>
      </c>
      <c r="M9" s="1">
        <v>734896.26</v>
      </c>
      <c r="N9" s="1">
        <v>510216.66</v>
      </c>
      <c r="O9" s="4" t="str">
        <f t="shared" si="0"/>
        <v>2012-07</v>
      </c>
      <c r="P9" s="3">
        <f t="shared" si="1"/>
        <v>2012</v>
      </c>
      <c r="Q9" s="1" t="s">
        <v>43</v>
      </c>
      <c r="R9" s="3">
        <f t="shared" si="2"/>
        <v>32210429.519999996</v>
      </c>
      <c r="S9" s="1">
        <f t="shared" si="3"/>
        <v>1356457.6669892471</v>
      </c>
      <c r="T9" s="1">
        <f t="shared" si="4"/>
        <v>29</v>
      </c>
    </row>
    <row r="10" spans="1:20" x14ac:dyDescent="0.25">
      <c r="A10" s="1" t="s">
        <v>34</v>
      </c>
      <c r="B10" s="1" t="s">
        <v>44</v>
      </c>
      <c r="C10" s="1" t="s">
        <v>45</v>
      </c>
      <c r="D10" s="1" t="s">
        <v>23</v>
      </c>
      <c r="E10" s="1" t="s">
        <v>41</v>
      </c>
      <c r="F10" s="2">
        <v>42199</v>
      </c>
      <c r="G10" s="1">
        <v>770463311</v>
      </c>
      <c r="H10" s="2">
        <v>42241</v>
      </c>
      <c r="I10" s="1">
        <v>6070</v>
      </c>
      <c r="J10" s="1">
        <v>81.73</v>
      </c>
      <c r="K10" s="1">
        <v>56.67</v>
      </c>
      <c r="L10" s="1">
        <v>496101.1</v>
      </c>
      <c r="M10" s="1">
        <v>343986.9</v>
      </c>
      <c r="N10" s="1">
        <v>152114.20000000001</v>
      </c>
      <c r="O10" s="4" t="str">
        <f t="shared" si="0"/>
        <v>2015-07</v>
      </c>
      <c r="P10" s="3">
        <f t="shared" si="1"/>
        <v>2015</v>
      </c>
      <c r="Q10" s="1" t="s">
        <v>45</v>
      </c>
      <c r="R10" s="3">
        <f t="shared" si="2"/>
        <v>32210429.519999996</v>
      </c>
      <c r="S10" s="1">
        <f t="shared" si="3"/>
        <v>1357667.9359782606</v>
      </c>
      <c r="T10" s="1">
        <f t="shared" si="4"/>
        <v>29</v>
      </c>
    </row>
    <row r="11" spans="1:20" x14ac:dyDescent="0.25">
      <c r="A11" s="1" t="s">
        <v>34</v>
      </c>
      <c r="B11" s="1" t="s">
        <v>46</v>
      </c>
      <c r="C11" s="1" t="s">
        <v>27</v>
      </c>
      <c r="D11" s="1" t="s">
        <v>28</v>
      </c>
      <c r="E11" s="1" t="s">
        <v>24</v>
      </c>
      <c r="F11" s="2">
        <v>41747</v>
      </c>
      <c r="G11" s="1">
        <v>616607081</v>
      </c>
      <c r="H11" s="2">
        <v>41789</v>
      </c>
      <c r="I11" s="1">
        <v>6593</v>
      </c>
      <c r="J11" s="1">
        <v>205.7</v>
      </c>
      <c r="K11" s="1">
        <v>117.11</v>
      </c>
      <c r="L11" s="1">
        <v>1356180.1</v>
      </c>
      <c r="M11" s="1">
        <v>772106.23</v>
      </c>
      <c r="N11" s="1">
        <v>584073.87</v>
      </c>
      <c r="O11" s="4" t="str">
        <f t="shared" si="0"/>
        <v>2014-04</v>
      </c>
      <c r="P11" s="3">
        <f t="shared" si="1"/>
        <v>2014</v>
      </c>
      <c r="Q11" s="1" t="s">
        <v>27</v>
      </c>
      <c r="R11" s="3">
        <f t="shared" si="2"/>
        <v>32210429.519999996</v>
      </c>
      <c r="S11" s="1">
        <f t="shared" si="3"/>
        <v>1367135.7034065931</v>
      </c>
      <c r="T11" s="1">
        <f t="shared" si="4"/>
        <v>29</v>
      </c>
    </row>
    <row r="12" spans="1:20" x14ac:dyDescent="0.25">
      <c r="A12" s="1" t="s">
        <v>47</v>
      </c>
      <c r="B12" s="1" t="s">
        <v>48</v>
      </c>
      <c r="C12" s="1" t="s">
        <v>43</v>
      </c>
      <c r="D12" s="1" t="s">
        <v>28</v>
      </c>
      <c r="E12" s="1" t="s">
        <v>24</v>
      </c>
      <c r="F12" s="2">
        <v>40718</v>
      </c>
      <c r="G12" s="1">
        <v>814711606</v>
      </c>
      <c r="H12" s="2">
        <v>40736</v>
      </c>
      <c r="I12" s="1">
        <v>124</v>
      </c>
      <c r="J12" s="1">
        <v>154.06</v>
      </c>
      <c r="K12" s="1">
        <v>90.93</v>
      </c>
      <c r="L12" s="1">
        <v>19103.439999999999</v>
      </c>
      <c r="M12" s="1">
        <v>11275.32</v>
      </c>
      <c r="N12" s="1">
        <v>7828.12</v>
      </c>
      <c r="O12" s="4" t="str">
        <f t="shared" si="0"/>
        <v>2011-06</v>
      </c>
      <c r="P12" s="3">
        <f t="shared" si="1"/>
        <v>2011</v>
      </c>
      <c r="Q12" s="1" t="s">
        <v>43</v>
      </c>
      <c r="R12" s="3">
        <f t="shared" si="2"/>
        <v>32210429.519999996</v>
      </c>
      <c r="S12" s="1">
        <f t="shared" si="3"/>
        <v>1367257.4323333332</v>
      </c>
      <c r="T12" s="1">
        <f t="shared" si="4"/>
        <v>29</v>
      </c>
    </row>
    <row r="13" spans="1:20" x14ac:dyDescent="0.25">
      <c r="A13" s="1" t="s">
        <v>34</v>
      </c>
      <c r="B13" s="1" t="s">
        <v>49</v>
      </c>
      <c r="C13" s="1" t="s">
        <v>50</v>
      </c>
      <c r="D13" s="1" t="s">
        <v>23</v>
      </c>
      <c r="E13" s="1" t="s">
        <v>24</v>
      </c>
      <c r="F13" s="2">
        <v>41853</v>
      </c>
      <c r="G13" s="1">
        <v>939825713</v>
      </c>
      <c r="H13" s="2">
        <v>41870</v>
      </c>
      <c r="I13" s="1">
        <v>4168</v>
      </c>
      <c r="J13" s="1">
        <v>109.28</v>
      </c>
      <c r="K13" s="1">
        <v>35.840000000000003</v>
      </c>
      <c r="L13" s="1">
        <v>455479.03999999998</v>
      </c>
      <c r="M13" s="1">
        <v>149381.12</v>
      </c>
      <c r="N13" s="1">
        <v>306097.91999999998</v>
      </c>
      <c r="O13" s="4" t="str">
        <f t="shared" si="0"/>
        <v>2014-08</v>
      </c>
      <c r="P13" s="3">
        <f t="shared" si="1"/>
        <v>2014</v>
      </c>
      <c r="Q13" s="1" t="s">
        <v>50</v>
      </c>
      <c r="R13" s="3">
        <f t="shared" si="2"/>
        <v>32210429.519999996</v>
      </c>
      <c r="S13" s="1">
        <f t="shared" si="3"/>
        <v>1382405.2299999997</v>
      </c>
      <c r="T13" s="1">
        <f t="shared" si="4"/>
        <v>29</v>
      </c>
    </row>
    <row r="14" spans="1:20" x14ac:dyDescent="0.25">
      <c r="A14" s="1" t="s">
        <v>47</v>
      </c>
      <c r="B14" s="1" t="s">
        <v>51</v>
      </c>
      <c r="C14" s="1" t="s">
        <v>50</v>
      </c>
      <c r="D14" s="1" t="s">
        <v>28</v>
      </c>
      <c r="E14" s="1" t="s">
        <v>33</v>
      </c>
      <c r="F14" s="2">
        <v>42748</v>
      </c>
      <c r="G14" s="1">
        <v>187310731</v>
      </c>
      <c r="H14" s="2">
        <v>42795</v>
      </c>
      <c r="I14" s="1">
        <v>8263</v>
      </c>
      <c r="J14" s="1">
        <v>109.28</v>
      </c>
      <c r="K14" s="1">
        <v>35.840000000000003</v>
      </c>
      <c r="L14" s="1">
        <v>902980.64</v>
      </c>
      <c r="M14" s="1">
        <v>296145.91999999998</v>
      </c>
      <c r="N14" s="1">
        <v>606834.72</v>
      </c>
      <c r="O14" s="4" t="str">
        <f t="shared" si="0"/>
        <v>2017-01</v>
      </c>
      <c r="P14" s="3">
        <f t="shared" si="1"/>
        <v>2017</v>
      </c>
      <c r="Q14" s="1" t="s">
        <v>50</v>
      </c>
      <c r="R14" s="3">
        <f t="shared" si="2"/>
        <v>32210429.519999996</v>
      </c>
      <c r="S14" s="1">
        <f t="shared" si="3"/>
        <v>1392938.4821590907</v>
      </c>
      <c r="T14" s="1">
        <f t="shared" si="4"/>
        <v>29</v>
      </c>
    </row>
    <row r="15" spans="1:20" x14ac:dyDescent="0.25">
      <c r="A15" s="1" t="s">
        <v>25</v>
      </c>
      <c r="B15" s="1" t="s">
        <v>52</v>
      </c>
      <c r="C15" s="1" t="s">
        <v>40</v>
      </c>
      <c r="D15" s="1" t="s">
        <v>23</v>
      </c>
      <c r="E15" s="1" t="s">
        <v>24</v>
      </c>
      <c r="F15" s="2">
        <v>42774</v>
      </c>
      <c r="G15" s="1">
        <v>522840487</v>
      </c>
      <c r="H15" s="2">
        <v>42779</v>
      </c>
      <c r="I15" s="1">
        <v>8974</v>
      </c>
      <c r="J15" s="1">
        <v>668.27</v>
      </c>
      <c r="K15" s="1">
        <v>502.54</v>
      </c>
      <c r="L15" s="1">
        <v>5997054.9800000004</v>
      </c>
      <c r="M15" s="1">
        <v>4509793.96</v>
      </c>
      <c r="N15" s="1">
        <v>1487261.02</v>
      </c>
      <c r="O15" s="4" t="str">
        <f t="shared" si="0"/>
        <v>2017-02</v>
      </c>
      <c r="P15" s="3">
        <f t="shared" si="1"/>
        <v>2017</v>
      </c>
      <c r="Q15" s="1" t="s">
        <v>40</v>
      </c>
      <c r="R15" s="3">
        <f t="shared" si="2"/>
        <v>32210429.519999996</v>
      </c>
      <c r="S15" s="1">
        <f t="shared" si="3"/>
        <v>1398570.1814942525</v>
      </c>
      <c r="T15" s="1">
        <f t="shared" si="4"/>
        <v>29</v>
      </c>
    </row>
    <row r="16" spans="1:20" x14ac:dyDescent="0.25">
      <c r="A16" s="1" t="s">
        <v>47</v>
      </c>
      <c r="B16" s="1" t="s">
        <v>53</v>
      </c>
      <c r="C16" s="1" t="s">
        <v>45</v>
      </c>
      <c r="D16" s="1" t="s">
        <v>23</v>
      </c>
      <c r="E16" s="1" t="s">
        <v>29</v>
      </c>
      <c r="F16" s="2">
        <v>41689</v>
      </c>
      <c r="G16" s="1">
        <v>832401311</v>
      </c>
      <c r="H16" s="2">
        <v>41693</v>
      </c>
      <c r="I16" s="1">
        <v>4901</v>
      </c>
      <c r="J16" s="1">
        <v>81.73</v>
      </c>
      <c r="K16" s="1">
        <v>56.67</v>
      </c>
      <c r="L16" s="1">
        <v>400558.73</v>
      </c>
      <c r="M16" s="1">
        <v>277739.67</v>
      </c>
      <c r="N16" s="1">
        <v>122819.06</v>
      </c>
      <c r="O16" s="4" t="str">
        <f t="shared" si="0"/>
        <v>2014-02</v>
      </c>
      <c r="P16" s="3">
        <f t="shared" si="1"/>
        <v>2014</v>
      </c>
      <c r="Q16" s="1" t="s">
        <v>45</v>
      </c>
      <c r="R16" s="3">
        <f t="shared" si="2"/>
        <v>32210429.519999996</v>
      </c>
      <c r="S16" s="1">
        <f t="shared" si="3"/>
        <v>1345099.4280232554</v>
      </c>
      <c r="T16" s="1">
        <f t="shared" si="4"/>
        <v>28</v>
      </c>
    </row>
    <row r="17" spans="1:20" x14ac:dyDescent="0.25">
      <c r="A17" s="1" t="s">
        <v>30</v>
      </c>
      <c r="B17" s="1" t="s">
        <v>54</v>
      </c>
      <c r="C17" s="1" t="s">
        <v>50</v>
      </c>
      <c r="D17" s="1" t="s">
        <v>28</v>
      </c>
      <c r="E17" s="1" t="s">
        <v>41</v>
      </c>
      <c r="F17" s="2">
        <v>41022</v>
      </c>
      <c r="G17" s="1">
        <v>972292029</v>
      </c>
      <c r="H17" s="2">
        <v>41063</v>
      </c>
      <c r="I17" s="1">
        <v>1673</v>
      </c>
      <c r="J17" s="1">
        <v>109.28</v>
      </c>
      <c r="K17" s="1">
        <v>35.840000000000003</v>
      </c>
      <c r="L17" s="1">
        <v>182825.44</v>
      </c>
      <c r="M17" s="1">
        <v>59960.32</v>
      </c>
      <c r="N17" s="1">
        <v>122865.12</v>
      </c>
      <c r="O17" s="4" t="str">
        <f t="shared" si="0"/>
        <v>2012-04</v>
      </c>
      <c r="P17" s="3">
        <f t="shared" si="1"/>
        <v>2012</v>
      </c>
      <c r="Q17" s="1" t="s">
        <v>50</v>
      </c>
      <c r="R17" s="3">
        <f t="shared" si="2"/>
        <v>32210429.519999996</v>
      </c>
      <c r="S17" s="1">
        <f t="shared" si="3"/>
        <v>1356211.6715294116</v>
      </c>
      <c r="T17" s="1">
        <f t="shared" si="4"/>
        <v>28</v>
      </c>
    </row>
    <row r="18" spans="1:20" x14ac:dyDescent="0.25">
      <c r="A18" s="1" t="s">
        <v>47</v>
      </c>
      <c r="B18" s="1" t="s">
        <v>55</v>
      </c>
      <c r="C18" s="1" t="s">
        <v>56</v>
      </c>
      <c r="D18" s="1" t="s">
        <v>23</v>
      </c>
      <c r="E18" s="1" t="s">
        <v>41</v>
      </c>
      <c r="F18" s="2">
        <v>42693</v>
      </c>
      <c r="G18" s="1">
        <v>419123971</v>
      </c>
      <c r="H18" s="2">
        <v>42722</v>
      </c>
      <c r="I18" s="1">
        <v>6952</v>
      </c>
      <c r="J18" s="1">
        <v>437.2</v>
      </c>
      <c r="K18" s="1">
        <v>263.33</v>
      </c>
      <c r="L18" s="1">
        <v>3039414.4</v>
      </c>
      <c r="M18" s="1">
        <v>1830670.16</v>
      </c>
      <c r="N18" s="1">
        <v>1208744.24</v>
      </c>
      <c r="O18" s="4" t="str">
        <f t="shared" si="0"/>
        <v>2016-11</v>
      </c>
      <c r="P18" s="3">
        <f t="shared" si="1"/>
        <v>2016</v>
      </c>
      <c r="Q18" s="1" t="s">
        <v>56</v>
      </c>
      <c r="R18" s="3">
        <f t="shared" si="2"/>
        <v>32027604.079999998</v>
      </c>
      <c r="S18" s="1">
        <f t="shared" si="3"/>
        <v>1370180.5552380949</v>
      </c>
      <c r="T18" s="1">
        <f t="shared" si="4"/>
        <v>28</v>
      </c>
    </row>
    <row r="19" spans="1:20" x14ac:dyDescent="0.25">
      <c r="A19" s="1" t="s">
        <v>34</v>
      </c>
      <c r="B19" s="1" t="s">
        <v>57</v>
      </c>
      <c r="C19" s="1" t="s">
        <v>58</v>
      </c>
      <c r="D19" s="1" t="s">
        <v>23</v>
      </c>
      <c r="E19" s="1" t="s">
        <v>29</v>
      </c>
      <c r="F19" s="2">
        <v>42095</v>
      </c>
      <c r="G19" s="1">
        <v>519820964</v>
      </c>
      <c r="H19" s="2">
        <v>42112</v>
      </c>
      <c r="I19" s="1">
        <v>5430</v>
      </c>
      <c r="J19" s="1">
        <v>47.45</v>
      </c>
      <c r="K19" s="1">
        <v>31.79</v>
      </c>
      <c r="L19" s="1">
        <v>257653.5</v>
      </c>
      <c r="M19" s="1">
        <v>172619.7</v>
      </c>
      <c r="N19" s="1">
        <v>85033.8</v>
      </c>
      <c r="O19" s="4" t="str">
        <f t="shared" si="0"/>
        <v>2015-04</v>
      </c>
      <c r="P19" s="3">
        <f t="shared" si="1"/>
        <v>2015</v>
      </c>
      <c r="Q19" s="1" t="s">
        <v>58</v>
      </c>
      <c r="R19" s="3">
        <f t="shared" si="2"/>
        <v>32027604.079999998</v>
      </c>
      <c r="S19" s="1">
        <f t="shared" si="3"/>
        <v>1350069.3040963854</v>
      </c>
      <c r="T19" s="1">
        <f t="shared" si="4"/>
        <v>27</v>
      </c>
    </row>
    <row r="20" spans="1:20" x14ac:dyDescent="0.25">
      <c r="A20" s="1" t="s">
        <v>47</v>
      </c>
      <c r="B20" s="1" t="s">
        <v>59</v>
      </c>
      <c r="C20" s="1" t="s">
        <v>40</v>
      </c>
      <c r="D20" s="1" t="s">
        <v>23</v>
      </c>
      <c r="E20" s="1" t="s">
        <v>33</v>
      </c>
      <c r="F20" s="2">
        <v>40542</v>
      </c>
      <c r="G20" s="1">
        <v>441619336</v>
      </c>
      <c r="H20" s="2">
        <v>40563</v>
      </c>
      <c r="I20" s="1">
        <v>3830</v>
      </c>
      <c r="J20" s="1">
        <v>668.27</v>
      </c>
      <c r="K20" s="1">
        <v>502.54</v>
      </c>
      <c r="L20" s="1">
        <v>2559474.1</v>
      </c>
      <c r="M20" s="1">
        <v>1924728.2</v>
      </c>
      <c r="N20" s="1">
        <v>634745.9</v>
      </c>
      <c r="O20" s="4" t="str">
        <f t="shared" si="0"/>
        <v>2010-12</v>
      </c>
      <c r="P20" s="3">
        <f t="shared" si="1"/>
        <v>2010</v>
      </c>
      <c r="Q20" s="1" t="s">
        <v>40</v>
      </c>
      <c r="R20" s="3">
        <f t="shared" si="2"/>
        <v>32027604.079999998</v>
      </c>
      <c r="S20" s="1">
        <f t="shared" si="3"/>
        <v>1363391.4480487802</v>
      </c>
      <c r="T20" s="1">
        <f t="shared" si="4"/>
        <v>27</v>
      </c>
    </row>
    <row r="21" spans="1:20" x14ac:dyDescent="0.25">
      <c r="A21" s="1" t="s">
        <v>20</v>
      </c>
      <c r="B21" s="1" t="s">
        <v>60</v>
      </c>
      <c r="C21" s="1" t="s">
        <v>61</v>
      </c>
      <c r="D21" s="1" t="s">
        <v>28</v>
      </c>
      <c r="E21" s="1" t="s">
        <v>33</v>
      </c>
      <c r="F21" s="2">
        <v>41121</v>
      </c>
      <c r="G21" s="1">
        <v>322067916</v>
      </c>
      <c r="H21" s="2">
        <v>41163</v>
      </c>
      <c r="I21" s="1">
        <v>5908</v>
      </c>
      <c r="J21" s="1">
        <v>421.89</v>
      </c>
      <c r="K21" s="1">
        <v>364.69</v>
      </c>
      <c r="L21" s="1">
        <v>2492526.12</v>
      </c>
      <c r="M21" s="1">
        <v>2154588.52</v>
      </c>
      <c r="N21" s="1">
        <v>337937.6</v>
      </c>
      <c r="O21" s="4" t="str">
        <f t="shared" si="0"/>
        <v>2012-07</v>
      </c>
      <c r="P21" s="3">
        <f t="shared" si="1"/>
        <v>2012</v>
      </c>
      <c r="Q21" s="1" t="s">
        <v>61</v>
      </c>
      <c r="R21" s="3">
        <f t="shared" si="2"/>
        <v>32027604.079999998</v>
      </c>
      <c r="S21" s="1">
        <f t="shared" si="3"/>
        <v>1348624.9955555552</v>
      </c>
      <c r="T21" s="1">
        <f t="shared" si="4"/>
        <v>26</v>
      </c>
    </row>
    <row r="22" spans="1:20" x14ac:dyDescent="0.25">
      <c r="A22" s="1" t="s">
        <v>30</v>
      </c>
      <c r="B22" s="1" t="s">
        <v>62</v>
      </c>
      <c r="C22" s="1" t="s">
        <v>22</v>
      </c>
      <c r="D22" s="1" t="s">
        <v>28</v>
      </c>
      <c r="E22" s="1" t="s">
        <v>33</v>
      </c>
      <c r="F22" s="2">
        <v>41773</v>
      </c>
      <c r="G22" s="1">
        <v>819028031</v>
      </c>
      <c r="H22" s="2">
        <v>41818</v>
      </c>
      <c r="I22" s="1">
        <v>7450</v>
      </c>
      <c r="J22" s="1">
        <v>255.28</v>
      </c>
      <c r="K22" s="1">
        <v>159.41999999999999</v>
      </c>
      <c r="L22" s="1">
        <v>1901836</v>
      </c>
      <c r="M22" s="1">
        <v>1187679</v>
      </c>
      <c r="N22" s="1">
        <v>714157</v>
      </c>
      <c r="O22" s="4" t="str">
        <f t="shared" si="0"/>
        <v>2014-05</v>
      </c>
      <c r="P22" s="3">
        <f t="shared" si="1"/>
        <v>2014</v>
      </c>
      <c r="Q22" s="1" t="s">
        <v>22</v>
      </c>
      <c r="R22" s="3">
        <f t="shared" si="2"/>
        <v>32027604.079999998</v>
      </c>
      <c r="S22" s="1">
        <f t="shared" si="3"/>
        <v>1334326.2314999998</v>
      </c>
      <c r="T22" s="1">
        <f t="shared" si="4"/>
        <v>25</v>
      </c>
    </row>
    <row r="23" spans="1:20" x14ac:dyDescent="0.25">
      <c r="A23" s="1" t="s">
        <v>30</v>
      </c>
      <c r="B23" s="1" t="s">
        <v>63</v>
      </c>
      <c r="C23" s="1" t="s">
        <v>22</v>
      </c>
      <c r="D23" s="1" t="s">
        <v>28</v>
      </c>
      <c r="E23" s="1" t="s">
        <v>24</v>
      </c>
      <c r="F23" s="2">
        <v>42216</v>
      </c>
      <c r="G23" s="1">
        <v>860673511</v>
      </c>
      <c r="H23" s="2">
        <v>42250</v>
      </c>
      <c r="I23" s="1">
        <v>1273</v>
      </c>
      <c r="J23" s="1">
        <v>255.28</v>
      </c>
      <c r="K23" s="1">
        <v>159.41999999999999</v>
      </c>
      <c r="L23" s="1">
        <v>324971.44</v>
      </c>
      <c r="M23" s="1">
        <v>202941.66</v>
      </c>
      <c r="N23" s="1">
        <v>122029.78</v>
      </c>
      <c r="O23" s="4" t="str">
        <f t="shared" si="0"/>
        <v>2015-07</v>
      </c>
      <c r="P23" s="3">
        <f t="shared" si="1"/>
        <v>2015</v>
      </c>
      <c r="Q23" s="1" t="s">
        <v>22</v>
      </c>
      <c r="R23" s="3">
        <f t="shared" si="2"/>
        <v>30125768.079999998</v>
      </c>
      <c r="S23" s="1">
        <f t="shared" si="3"/>
        <v>1327142.5635443036</v>
      </c>
      <c r="T23" s="1">
        <f t="shared" si="4"/>
        <v>24</v>
      </c>
    </row>
    <row r="24" spans="1:20" x14ac:dyDescent="0.25">
      <c r="A24" s="1" t="s">
        <v>25</v>
      </c>
      <c r="B24" s="1" t="s">
        <v>52</v>
      </c>
      <c r="C24" s="1" t="s">
        <v>64</v>
      </c>
      <c r="D24" s="1" t="s">
        <v>28</v>
      </c>
      <c r="E24" s="1" t="s">
        <v>33</v>
      </c>
      <c r="F24" s="2">
        <v>42551</v>
      </c>
      <c r="G24" s="1">
        <v>795490682</v>
      </c>
      <c r="H24" s="2">
        <v>42577</v>
      </c>
      <c r="I24" s="1">
        <v>2225</v>
      </c>
      <c r="J24" s="1">
        <v>152.58000000000001</v>
      </c>
      <c r="K24" s="1">
        <v>97.44</v>
      </c>
      <c r="L24" s="1">
        <v>339490.5</v>
      </c>
      <c r="M24" s="1">
        <v>216804</v>
      </c>
      <c r="N24" s="1">
        <v>122686.5</v>
      </c>
      <c r="O24" s="4" t="str">
        <f t="shared" si="0"/>
        <v>2016-06</v>
      </c>
      <c r="P24" s="3">
        <f t="shared" si="1"/>
        <v>2016</v>
      </c>
      <c r="Q24" s="1" t="s">
        <v>64</v>
      </c>
      <c r="R24" s="3">
        <f t="shared" si="2"/>
        <v>29800796.640000001</v>
      </c>
      <c r="S24" s="1">
        <f t="shared" si="3"/>
        <v>1339990.9112820511</v>
      </c>
      <c r="T24" s="1">
        <f t="shared" si="4"/>
        <v>24</v>
      </c>
    </row>
    <row r="25" spans="1:20" x14ac:dyDescent="0.25">
      <c r="A25" s="1" t="s">
        <v>20</v>
      </c>
      <c r="B25" s="1" t="s">
        <v>65</v>
      </c>
      <c r="C25" s="1" t="s">
        <v>36</v>
      </c>
      <c r="D25" s="1" t="s">
        <v>28</v>
      </c>
      <c r="E25" s="1" t="s">
        <v>24</v>
      </c>
      <c r="F25" s="2">
        <v>41890</v>
      </c>
      <c r="G25" s="1">
        <v>142278373</v>
      </c>
      <c r="H25" s="2">
        <v>41916</v>
      </c>
      <c r="I25" s="1">
        <v>2187</v>
      </c>
      <c r="J25" s="1">
        <v>9.33</v>
      </c>
      <c r="K25" s="1">
        <v>6.92</v>
      </c>
      <c r="L25" s="1">
        <v>20404.71</v>
      </c>
      <c r="M25" s="1">
        <v>15134.04</v>
      </c>
      <c r="N25" s="1">
        <v>5270.67</v>
      </c>
      <c r="O25" s="4" t="str">
        <f t="shared" si="0"/>
        <v>2014-09</v>
      </c>
      <c r="P25" s="3">
        <f t="shared" si="1"/>
        <v>2014</v>
      </c>
      <c r="Q25" s="1" t="s">
        <v>36</v>
      </c>
      <c r="R25" s="3">
        <f t="shared" si="2"/>
        <v>29800796.640000001</v>
      </c>
      <c r="S25" s="1">
        <f t="shared" si="3"/>
        <v>1352984.4231168828</v>
      </c>
      <c r="T25" s="1">
        <f t="shared" si="4"/>
        <v>24</v>
      </c>
    </row>
    <row r="26" spans="1:20" x14ac:dyDescent="0.25">
      <c r="A26" s="1" t="s">
        <v>30</v>
      </c>
      <c r="B26" s="1" t="s">
        <v>66</v>
      </c>
      <c r="C26" s="1" t="s">
        <v>45</v>
      </c>
      <c r="D26" s="1" t="s">
        <v>28</v>
      </c>
      <c r="E26" s="1" t="s">
        <v>33</v>
      </c>
      <c r="F26" s="2">
        <v>42497</v>
      </c>
      <c r="G26" s="1">
        <v>740147912</v>
      </c>
      <c r="H26" s="2">
        <v>42500</v>
      </c>
      <c r="I26" s="1">
        <v>5070</v>
      </c>
      <c r="J26" s="1">
        <v>81.73</v>
      </c>
      <c r="K26" s="1">
        <v>56.67</v>
      </c>
      <c r="L26" s="1">
        <v>414371.1</v>
      </c>
      <c r="M26" s="1">
        <v>287316.90000000002</v>
      </c>
      <c r="N26" s="1">
        <v>127054.2</v>
      </c>
      <c r="O26" s="4" t="str">
        <f t="shared" si="0"/>
        <v>2016-05</v>
      </c>
      <c r="P26" s="3">
        <f t="shared" si="1"/>
        <v>2016</v>
      </c>
      <c r="Q26" s="1" t="s">
        <v>45</v>
      </c>
      <c r="R26" s="3">
        <f t="shared" si="2"/>
        <v>29800796.640000001</v>
      </c>
      <c r="S26" s="1">
        <f t="shared" si="3"/>
        <v>1370518.3667105262</v>
      </c>
      <c r="T26" s="1">
        <f t="shared" si="4"/>
        <v>24</v>
      </c>
    </row>
    <row r="27" spans="1:20" x14ac:dyDescent="0.25">
      <c r="A27" s="1" t="s">
        <v>30</v>
      </c>
      <c r="B27" s="1" t="s">
        <v>67</v>
      </c>
      <c r="C27" s="1" t="s">
        <v>56</v>
      </c>
      <c r="D27" s="1" t="s">
        <v>28</v>
      </c>
      <c r="E27" s="1" t="s">
        <v>24</v>
      </c>
      <c r="F27" s="2">
        <v>42877</v>
      </c>
      <c r="G27" s="1">
        <v>898523128</v>
      </c>
      <c r="H27" s="2">
        <v>42891</v>
      </c>
      <c r="I27" s="1">
        <v>1815</v>
      </c>
      <c r="J27" s="1">
        <v>437.2</v>
      </c>
      <c r="K27" s="1">
        <v>263.33</v>
      </c>
      <c r="L27" s="1">
        <v>793518</v>
      </c>
      <c r="M27" s="1">
        <v>477943.95</v>
      </c>
      <c r="N27" s="1">
        <v>315574.05</v>
      </c>
      <c r="O27" s="4" t="str">
        <f t="shared" si="0"/>
        <v>2017-05</v>
      </c>
      <c r="P27" s="3">
        <f t="shared" si="1"/>
        <v>2017</v>
      </c>
      <c r="Q27" s="1" t="s">
        <v>56</v>
      </c>
      <c r="R27" s="3">
        <f t="shared" si="2"/>
        <v>29386425.539999999</v>
      </c>
      <c r="S27" s="1">
        <f t="shared" si="3"/>
        <v>1383266.9969333331</v>
      </c>
      <c r="T27" s="1">
        <f t="shared" si="4"/>
        <v>24</v>
      </c>
    </row>
    <row r="28" spans="1:20" x14ac:dyDescent="0.25">
      <c r="A28" s="1" t="s">
        <v>20</v>
      </c>
      <c r="B28" s="1" t="s">
        <v>68</v>
      </c>
      <c r="C28" s="1" t="s">
        <v>36</v>
      </c>
      <c r="D28" s="1" t="s">
        <v>28</v>
      </c>
      <c r="E28" s="1" t="s">
        <v>41</v>
      </c>
      <c r="F28" s="2">
        <v>41925</v>
      </c>
      <c r="G28" s="1">
        <v>347140347</v>
      </c>
      <c r="H28" s="2">
        <v>41953</v>
      </c>
      <c r="I28" s="1">
        <v>5398</v>
      </c>
      <c r="J28" s="1">
        <v>9.33</v>
      </c>
      <c r="K28" s="1">
        <v>6.92</v>
      </c>
      <c r="L28" s="1">
        <v>50363.34</v>
      </c>
      <c r="M28" s="1">
        <v>37354.160000000003</v>
      </c>
      <c r="N28" s="1">
        <v>13009.18</v>
      </c>
      <c r="O28" s="4" t="str">
        <f t="shared" si="0"/>
        <v>2014-10</v>
      </c>
      <c r="P28" s="3">
        <f t="shared" si="1"/>
        <v>2014</v>
      </c>
      <c r="Q28" s="1" t="s">
        <v>36</v>
      </c>
      <c r="R28" s="3">
        <f t="shared" si="2"/>
        <v>28592907.539999999</v>
      </c>
      <c r="S28" s="1">
        <f t="shared" si="3"/>
        <v>1391236.5779729728</v>
      </c>
      <c r="T28" s="1">
        <f t="shared" si="4"/>
        <v>24</v>
      </c>
    </row>
    <row r="29" spans="1:20" x14ac:dyDescent="0.25">
      <c r="A29" s="1" t="s">
        <v>34</v>
      </c>
      <c r="B29" s="1" t="s">
        <v>69</v>
      </c>
      <c r="C29" s="1" t="s">
        <v>36</v>
      </c>
      <c r="D29" s="1" t="s">
        <v>28</v>
      </c>
      <c r="E29" s="1" t="s">
        <v>33</v>
      </c>
      <c r="F29" s="2">
        <v>40305</v>
      </c>
      <c r="G29" s="1">
        <v>686048400</v>
      </c>
      <c r="H29" s="2">
        <v>40308</v>
      </c>
      <c r="I29" s="1">
        <v>5822</v>
      </c>
      <c r="J29" s="1">
        <v>9.33</v>
      </c>
      <c r="K29" s="1">
        <v>6.92</v>
      </c>
      <c r="L29" s="1">
        <v>54319.26</v>
      </c>
      <c r="M29" s="1">
        <v>40288.239999999998</v>
      </c>
      <c r="N29" s="1">
        <v>14031.02</v>
      </c>
      <c r="O29" s="4" t="str">
        <f t="shared" si="0"/>
        <v>2010-05</v>
      </c>
      <c r="P29" s="3">
        <f t="shared" si="1"/>
        <v>2010</v>
      </c>
      <c r="Q29" s="1" t="s">
        <v>36</v>
      </c>
      <c r="R29" s="3">
        <f t="shared" si="2"/>
        <v>28592907.539999999</v>
      </c>
      <c r="S29" s="1">
        <f t="shared" si="3"/>
        <v>1409604.7045205478</v>
      </c>
      <c r="T29" s="1">
        <f t="shared" si="4"/>
        <v>24</v>
      </c>
    </row>
    <row r="30" spans="1:20" x14ac:dyDescent="0.25">
      <c r="A30" s="1" t="s">
        <v>30</v>
      </c>
      <c r="B30" s="1" t="s">
        <v>62</v>
      </c>
      <c r="C30" s="1" t="s">
        <v>58</v>
      </c>
      <c r="D30" s="1" t="s">
        <v>23</v>
      </c>
      <c r="E30" s="1" t="s">
        <v>29</v>
      </c>
      <c r="F30" s="2">
        <v>41838</v>
      </c>
      <c r="G30" s="1">
        <v>435608613</v>
      </c>
      <c r="H30" s="2">
        <v>41850</v>
      </c>
      <c r="I30" s="1">
        <v>5124</v>
      </c>
      <c r="J30" s="1">
        <v>47.45</v>
      </c>
      <c r="K30" s="1">
        <v>31.79</v>
      </c>
      <c r="L30" s="1">
        <v>243133.8</v>
      </c>
      <c r="M30" s="1">
        <v>162891.96</v>
      </c>
      <c r="N30" s="1">
        <v>80241.84</v>
      </c>
      <c r="O30" s="4" t="str">
        <f t="shared" si="0"/>
        <v>2014-07</v>
      </c>
      <c r="P30" s="3">
        <f t="shared" si="1"/>
        <v>2014</v>
      </c>
      <c r="Q30" s="1" t="s">
        <v>58</v>
      </c>
      <c r="R30" s="3">
        <f t="shared" si="2"/>
        <v>28592907.539999999</v>
      </c>
      <c r="S30" s="1">
        <f t="shared" si="3"/>
        <v>1428428.1134722221</v>
      </c>
      <c r="T30" s="1">
        <f t="shared" si="4"/>
        <v>24</v>
      </c>
    </row>
    <row r="31" spans="1:20" x14ac:dyDescent="0.25">
      <c r="A31" s="1" t="s">
        <v>34</v>
      </c>
      <c r="B31" s="1" t="s">
        <v>70</v>
      </c>
      <c r="C31" s="1" t="s">
        <v>40</v>
      </c>
      <c r="D31" s="1" t="s">
        <v>23</v>
      </c>
      <c r="E31" s="1" t="s">
        <v>33</v>
      </c>
      <c r="F31" s="2">
        <v>41055</v>
      </c>
      <c r="G31" s="1">
        <v>886494815</v>
      </c>
      <c r="H31" s="2">
        <v>41069</v>
      </c>
      <c r="I31" s="1">
        <v>2370</v>
      </c>
      <c r="J31" s="1">
        <v>668.27</v>
      </c>
      <c r="K31" s="1">
        <v>502.54</v>
      </c>
      <c r="L31" s="1">
        <v>1583799.9</v>
      </c>
      <c r="M31" s="1">
        <v>1191019.8</v>
      </c>
      <c r="N31" s="1">
        <v>392780.1</v>
      </c>
      <c r="O31" s="4" t="str">
        <f t="shared" si="0"/>
        <v>2012-05</v>
      </c>
      <c r="P31" s="3">
        <f t="shared" si="1"/>
        <v>2012</v>
      </c>
      <c r="Q31" s="1" t="s">
        <v>40</v>
      </c>
      <c r="R31" s="3">
        <f t="shared" si="2"/>
        <v>28349773.740000002</v>
      </c>
      <c r="S31" s="1">
        <f t="shared" si="3"/>
        <v>1445122.3995774647</v>
      </c>
      <c r="T31" s="1">
        <f t="shared" si="4"/>
        <v>24</v>
      </c>
    </row>
    <row r="32" spans="1:20" x14ac:dyDescent="0.25">
      <c r="A32" s="1" t="s">
        <v>30</v>
      </c>
      <c r="B32" s="1" t="s">
        <v>71</v>
      </c>
      <c r="C32" s="1" t="s">
        <v>56</v>
      </c>
      <c r="D32" s="1" t="s">
        <v>23</v>
      </c>
      <c r="E32" s="1" t="s">
        <v>41</v>
      </c>
      <c r="F32" s="2">
        <v>41169</v>
      </c>
      <c r="G32" s="1">
        <v>249693334</v>
      </c>
      <c r="H32" s="2">
        <v>41202</v>
      </c>
      <c r="I32" s="1">
        <v>8661</v>
      </c>
      <c r="J32" s="1">
        <v>437.2</v>
      </c>
      <c r="K32" s="1">
        <v>263.33</v>
      </c>
      <c r="L32" s="1">
        <v>3786589.2</v>
      </c>
      <c r="M32" s="1">
        <v>2280701.13</v>
      </c>
      <c r="N32" s="1">
        <v>1505888.07</v>
      </c>
      <c r="O32" s="4" t="str">
        <f t="shared" si="0"/>
        <v>2012-09</v>
      </c>
      <c r="P32" s="3">
        <f t="shared" si="1"/>
        <v>2012</v>
      </c>
      <c r="Q32" s="1" t="s">
        <v>56</v>
      </c>
      <c r="R32" s="3">
        <f t="shared" si="2"/>
        <v>28349773.740000002</v>
      </c>
      <c r="S32" s="1">
        <f t="shared" si="3"/>
        <v>1443141.2924285713</v>
      </c>
      <c r="T32" s="1">
        <f t="shared" si="4"/>
        <v>23</v>
      </c>
    </row>
    <row r="33" spans="1:20" x14ac:dyDescent="0.25">
      <c r="A33" s="1" t="s">
        <v>34</v>
      </c>
      <c r="B33" s="1" t="s">
        <v>72</v>
      </c>
      <c r="C33" s="1" t="s">
        <v>45</v>
      </c>
      <c r="D33" s="1" t="s">
        <v>23</v>
      </c>
      <c r="E33" s="1" t="s">
        <v>29</v>
      </c>
      <c r="F33" s="2">
        <v>41637</v>
      </c>
      <c r="G33" s="1">
        <v>406502997</v>
      </c>
      <c r="H33" s="2">
        <v>41667</v>
      </c>
      <c r="I33" s="1">
        <v>2125</v>
      </c>
      <c r="J33" s="1">
        <v>81.73</v>
      </c>
      <c r="K33" s="1">
        <v>56.67</v>
      </c>
      <c r="L33" s="1">
        <v>173676.25</v>
      </c>
      <c r="M33" s="1">
        <v>120423.75</v>
      </c>
      <c r="N33" s="1">
        <v>53252.5</v>
      </c>
      <c r="O33" s="4" t="str">
        <f t="shared" si="0"/>
        <v>2013-12</v>
      </c>
      <c r="P33" s="3">
        <f t="shared" si="1"/>
        <v>2013</v>
      </c>
      <c r="Q33" s="1" t="s">
        <v>45</v>
      </c>
      <c r="R33" s="3">
        <f t="shared" si="2"/>
        <v>24563184.539999999</v>
      </c>
      <c r="S33" s="1">
        <f t="shared" si="3"/>
        <v>1409178.2792753621</v>
      </c>
      <c r="T33" s="1">
        <f t="shared" si="4"/>
        <v>22</v>
      </c>
    </row>
    <row r="34" spans="1:20" x14ac:dyDescent="0.25">
      <c r="A34" s="1" t="s">
        <v>20</v>
      </c>
      <c r="B34" s="1" t="s">
        <v>73</v>
      </c>
      <c r="C34" s="1" t="s">
        <v>32</v>
      </c>
      <c r="D34" s="1" t="s">
        <v>28</v>
      </c>
      <c r="E34" s="1" t="s">
        <v>29</v>
      </c>
      <c r="F34" s="2">
        <v>42304</v>
      </c>
      <c r="G34" s="1">
        <v>158535134</v>
      </c>
      <c r="H34" s="2">
        <v>42333</v>
      </c>
      <c r="I34" s="1">
        <v>2924</v>
      </c>
      <c r="J34" s="1">
        <v>651.21</v>
      </c>
      <c r="K34" s="1">
        <v>524.96</v>
      </c>
      <c r="L34" s="1">
        <v>1904138.04</v>
      </c>
      <c r="M34" s="1">
        <v>1534983.04</v>
      </c>
      <c r="N34" s="1">
        <v>369155</v>
      </c>
      <c r="O34" s="4" t="str">
        <f t="shared" si="0"/>
        <v>2015-10</v>
      </c>
      <c r="P34" s="3">
        <f t="shared" si="1"/>
        <v>2015</v>
      </c>
      <c r="Q34" s="1" t="s">
        <v>32</v>
      </c>
      <c r="R34" s="3">
        <f t="shared" si="2"/>
        <v>24563184.539999999</v>
      </c>
      <c r="S34" s="1">
        <f t="shared" si="3"/>
        <v>1427347.4267647059</v>
      </c>
      <c r="T34" s="1">
        <f t="shared" si="4"/>
        <v>22</v>
      </c>
    </row>
    <row r="35" spans="1:20" x14ac:dyDescent="0.25">
      <c r="A35" s="1" t="s">
        <v>47</v>
      </c>
      <c r="B35" s="1" t="s">
        <v>74</v>
      </c>
      <c r="C35" s="1" t="s">
        <v>40</v>
      </c>
      <c r="D35" s="1" t="s">
        <v>23</v>
      </c>
      <c r="E35" s="1" t="s">
        <v>24</v>
      </c>
      <c r="F35" s="2">
        <v>42020</v>
      </c>
      <c r="G35" s="1">
        <v>177713572</v>
      </c>
      <c r="H35" s="2">
        <v>42064</v>
      </c>
      <c r="I35" s="1">
        <v>8250</v>
      </c>
      <c r="J35" s="1">
        <v>668.27</v>
      </c>
      <c r="K35" s="1">
        <v>502.54</v>
      </c>
      <c r="L35" s="1">
        <v>5513227.5</v>
      </c>
      <c r="M35" s="1">
        <v>4145955</v>
      </c>
      <c r="N35" s="1">
        <v>1367272.5</v>
      </c>
      <c r="O35" s="4" t="str">
        <f t="shared" si="0"/>
        <v>2015-01</v>
      </c>
      <c r="P35" s="3">
        <f t="shared" si="1"/>
        <v>2015</v>
      </c>
      <c r="Q35" s="1" t="s">
        <v>40</v>
      </c>
      <c r="R35" s="3">
        <f t="shared" si="2"/>
        <v>24563184.539999999</v>
      </c>
      <c r="S35" s="1">
        <f t="shared" si="3"/>
        <v>1420231.1489552234</v>
      </c>
      <c r="T35" s="1">
        <f t="shared" si="4"/>
        <v>21</v>
      </c>
    </row>
    <row r="36" spans="1:20" x14ac:dyDescent="0.25">
      <c r="A36" s="1" t="s">
        <v>34</v>
      </c>
      <c r="B36" s="1" t="s">
        <v>75</v>
      </c>
      <c r="C36" s="1" t="s">
        <v>64</v>
      </c>
      <c r="D36" s="1" t="s">
        <v>28</v>
      </c>
      <c r="E36" s="1" t="s">
        <v>41</v>
      </c>
      <c r="F36" s="2">
        <v>42791</v>
      </c>
      <c r="G36" s="1">
        <v>756274640</v>
      </c>
      <c r="H36" s="2">
        <v>42791</v>
      </c>
      <c r="I36" s="1">
        <v>7327</v>
      </c>
      <c r="J36" s="1">
        <v>152.58000000000001</v>
      </c>
      <c r="K36" s="1">
        <v>97.44</v>
      </c>
      <c r="L36" s="1">
        <v>1117953.6599999999</v>
      </c>
      <c r="M36" s="1">
        <v>713942.88</v>
      </c>
      <c r="N36" s="1">
        <v>404010.78</v>
      </c>
      <c r="O36" s="4" t="str">
        <f t="shared" si="0"/>
        <v>2017-02</v>
      </c>
      <c r="P36" s="3">
        <f t="shared" si="1"/>
        <v>2017</v>
      </c>
      <c r="Q36" s="1" t="s">
        <v>64</v>
      </c>
      <c r="R36" s="3">
        <f t="shared" si="2"/>
        <v>24563184.539999999</v>
      </c>
      <c r="S36" s="1">
        <f t="shared" si="3"/>
        <v>1358216.0527272725</v>
      </c>
      <c r="T36" s="1">
        <f t="shared" si="4"/>
        <v>20</v>
      </c>
    </row>
    <row r="37" spans="1:20" x14ac:dyDescent="0.25">
      <c r="A37" s="1" t="s">
        <v>25</v>
      </c>
      <c r="B37" s="1" t="s">
        <v>76</v>
      </c>
      <c r="C37" s="1" t="s">
        <v>45</v>
      </c>
      <c r="D37" s="1" t="s">
        <v>23</v>
      </c>
      <c r="E37" s="1" t="s">
        <v>33</v>
      </c>
      <c r="F37" s="2">
        <v>42863</v>
      </c>
      <c r="G37" s="1">
        <v>456767165</v>
      </c>
      <c r="H37" s="2">
        <v>42876</v>
      </c>
      <c r="I37" s="1">
        <v>6409</v>
      </c>
      <c r="J37" s="1">
        <v>81.73</v>
      </c>
      <c r="K37" s="1">
        <v>56.67</v>
      </c>
      <c r="L37" s="1">
        <v>523807.57</v>
      </c>
      <c r="M37" s="1">
        <v>363198.03</v>
      </c>
      <c r="N37" s="1">
        <v>160609.54</v>
      </c>
      <c r="O37" s="4" t="str">
        <f t="shared" si="0"/>
        <v>2017-05</v>
      </c>
      <c r="P37" s="3">
        <f t="shared" si="1"/>
        <v>2017</v>
      </c>
      <c r="Q37" s="1" t="s">
        <v>45</v>
      </c>
      <c r="R37" s="3">
        <f t="shared" si="2"/>
        <v>24563184.539999999</v>
      </c>
      <c r="S37" s="1">
        <f t="shared" si="3"/>
        <v>1361912.3972307688</v>
      </c>
      <c r="T37" s="1">
        <f t="shared" si="4"/>
        <v>20</v>
      </c>
    </row>
    <row r="38" spans="1:20" x14ac:dyDescent="0.25">
      <c r="A38" s="1" t="s">
        <v>77</v>
      </c>
      <c r="B38" s="1" t="s">
        <v>78</v>
      </c>
      <c r="C38" s="1" t="s">
        <v>36</v>
      </c>
      <c r="D38" s="1" t="s">
        <v>28</v>
      </c>
      <c r="E38" s="1" t="s">
        <v>33</v>
      </c>
      <c r="F38" s="2">
        <v>40869</v>
      </c>
      <c r="G38" s="1">
        <v>162052476</v>
      </c>
      <c r="H38" s="2">
        <v>40880</v>
      </c>
      <c r="I38" s="1">
        <v>3784</v>
      </c>
      <c r="J38" s="1">
        <v>9.33</v>
      </c>
      <c r="K38" s="1">
        <v>6.92</v>
      </c>
      <c r="L38" s="1">
        <v>35304.720000000001</v>
      </c>
      <c r="M38" s="1">
        <v>26185.279999999999</v>
      </c>
      <c r="N38" s="1">
        <v>9119.44</v>
      </c>
      <c r="O38" s="4" t="str">
        <f t="shared" si="0"/>
        <v>2011-11</v>
      </c>
      <c r="P38" s="3">
        <f t="shared" si="1"/>
        <v>2011</v>
      </c>
      <c r="Q38" s="1" t="s">
        <v>36</v>
      </c>
      <c r="R38" s="3">
        <f t="shared" si="2"/>
        <v>24563184.539999999</v>
      </c>
      <c r="S38" s="1">
        <f t="shared" si="3"/>
        <v>1375007.7851562495</v>
      </c>
      <c r="T38" s="1">
        <f t="shared" si="4"/>
        <v>20</v>
      </c>
    </row>
    <row r="39" spans="1:20" x14ac:dyDescent="0.25">
      <c r="A39" s="1" t="s">
        <v>34</v>
      </c>
      <c r="B39" s="1" t="s">
        <v>70</v>
      </c>
      <c r="C39" s="1" t="s">
        <v>61</v>
      </c>
      <c r="D39" s="1" t="s">
        <v>28</v>
      </c>
      <c r="E39" s="1" t="s">
        <v>41</v>
      </c>
      <c r="F39" s="2">
        <v>42749</v>
      </c>
      <c r="G39" s="1">
        <v>825304400</v>
      </c>
      <c r="H39" s="2">
        <v>42758</v>
      </c>
      <c r="I39" s="1">
        <v>4767</v>
      </c>
      <c r="J39" s="1">
        <v>421.89</v>
      </c>
      <c r="K39" s="1">
        <v>364.69</v>
      </c>
      <c r="L39" s="1">
        <v>2011149.63</v>
      </c>
      <c r="M39" s="1">
        <v>1738477.23</v>
      </c>
      <c r="N39" s="1">
        <v>272672.40000000002</v>
      </c>
      <c r="O39" s="4" t="str">
        <f t="shared" si="0"/>
        <v>2017-01</v>
      </c>
      <c r="P39" s="3">
        <f t="shared" si="1"/>
        <v>2017</v>
      </c>
      <c r="Q39" s="1" t="s">
        <v>61</v>
      </c>
      <c r="R39" s="3">
        <f t="shared" si="2"/>
        <v>24563184.539999999</v>
      </c>
      <c r="S39" s="1">
        <f t="shared" si="3"/>
        <v>1396272.9131746027</v>
      </c>
      <c r="T39" s="1">
        <f t="shared" si="4"/>
        <v>20</v>
      </c>
    </row>
    <row r="40" spans="1:20" x14ac:dyDescent="0.25">
      <c r="A40" s="1" t="s">
        <v>47</v>
      </c>
      <c r="B40" s="1" t="s">
        <v>79</v>
      </c>
      <c r="C40" s="1" t="s">
        <v>32</v>
      </c>
      <c r="D40" s="1" t="s">
        <v>28</v>
      </c>
      <c r="E40" s="1" t="s">
        <v>33</v>
      </c>
      <c r="F40" s="2">
        <v>41000</v>
      </c>
      <c r="G40" s="1">
        <v>320009267</v>
      </c>
      <c r="H40" s="2">
        <v>41037</v>
      </c>
      <c r="I40" s="1">
        <v>6708</v>
      </c>
      <c r="J40" s="1">
        <v>651.21</v>
      </c>
      <c r="K40" s="1">
        <v>524.96</v>
      </c>
      <c r="L40" s="1">
        <v>4368316.68</v>
      </c>
      <c r="M40" s="1">
        <v>3521431.68</v>
      </c>
      <c r="N40" s="1">
        <v>846885</v>
      </c>
      <c r="O40" s="4" t="str">
        <f t="shared" si="0"/>
        <v>2012-04</v>
      </c>
      <c r="P40" s="3">
        <f t="shared" si="1"/>
        <v>2012</v>
      </c>
      <c r="Q40" s="1" t="s">
        <v>32</v>
      </c>
      <c r="R40" s="3">
        <f t="shared" si="2"/>
        <v>24563184.539999999</v>
      </c>
      <c r="S40" s="1">
        <f t="shared" si="3"/>
        <v>1386355.5467741932</v>
      </c>
      <c r="T40" s="1">
        <f t="shared" si="4"/>
        <v>19</v>
      </c>
    </row>
    <row r="41" spans="1:20" x14ac:dyDescent="0.25">
      <c r="A41" s="1" t="s">
        <v>30</v>
      </c>
      <c r="B41" s="1" t="s">
        <v>54</v>
      </c>
      <c r="C41" s="1" t="s">
        <v>32</v>
      </c>
      <c r="D41" s="1" t="s">
        <v>28</v>
      </c>
      <c r="E41" s="1" t="s">
        <v>41</v>
      </c>
      <c r="F41" s="2">
        <v>40955</v>
      </c>
      <c r="G41" s="1">
        <v>189965903</v>
      </c>
      <c r="H41" s="2">
        <v>40967</v>
      </c>
      <c r="I41" s="1">
        <v>3987</v>
      </c>
      <c r="J41" s="1">
        <v>651.21</v>
      </c>
      <c r="K41" s="1">
        <v>524.96</v>
      </c>
      <c r="L41" s="1">
        <v>2596374.27</v>
      </c>
      <c r="M41" s="1">
        <v>2093015.52</v>
      </c>
      <c r="N41" s="1">
        <v>503358.75</v>
      </c>
      <c r="O41" s="4" t="str">
        <f t="shared" si="0"/>
        <v>2012-02</v>
      </c>
      <c r="P41" s="3">
        <f t="shared" si="1"/>
        <v>2012</v>
      </c>
      <c r="Q41" s="1" t="s">
        <v>32</v>
      </c>
      <c r="R41" s="3">
        <f t="shared" si="2"/>
        <v>24563184.539999999</v>
      </c>
      <c r="S41" s="1">
        <f t="shared" si="3"/>
        <v>1337470.9380327868</v>
      </c>
      <c r="T41" s="1">
        <f t="shared" si="4"/>
        <v>18</v>
      </c>
    </row>
    <row r="42" spans="1:20" x14ac:dyDescent="0.25">
      <c r="A42" s="1" t="s">
        <v>34</v>
      </c>
      <c r="B42" s="1" t="s">
        <v>80</v>
      </c>
      <c r="C42" s="1" t="s">
        <v>45</v>
      </c>
      <c r="D42" s="1" t="s">
        <v>28</v>
      </c>
      <c r="E42" s="1" t="s">
        <v>24</v>
      </c>
      <c r="F42" s="2">
        <v>42805</v>
      </c>
      <c r="G42" s="1">
        <v>699285638</v>
      </c>
      <c r="H42" s="2">
        <v>42822</v>
      </c>
      <c r="I42" s="1">
        <v>3015</v>
      </c>
      <c r="J42" s="1">
        <v>81.73</v>
      </c>
      <c r="K42" s="1">
        <v>56.67</v>
      </c>
      <c r="L42" s="1">
        <v>246415.95</v>
      </c>
      <c r="M42" s="1">
        <v>170860.05</v>
      </c>
      <c r="N42" s="1">
        <v>75555.899999999994</v>
      </c>
      <c r="O42" s="4" t="str">
        <f t="shared" si="0"/>
        <v>2017-03</v>
      </c>
      <c r="P42" s="3">
        <f t="shared" si="1"/>
        <v>2017</v>
      </c>
      <c r="Q42" s="1" t="s">
        <v>45</v>
      </c>
      <c r="R42" s="3">
        <f t="shared" si="2"/>
        <v>21966810.27</v>
      </c>
      <c r="S42" s="1">
        <f t="shared" si="3"/>
        <v>1316489.2158333331</v>
      </c>
      <c r="T42" s="1">
        <f t="shared" si="4"/>
        <v>17</v>
      </c>
    </row>
    <row r="43" spans="1:20" x14ac:dyDescent="0.25">
      <c r="A43" s="1" t="s">
        <v>77</v>
      </c>
      <c r="B43" s="1" t="s">
        <v>81</v>
      </c>
      <c r="C43" s="1" t="s">
        <v>56</v>
      </c>
      <c r="D43" s="1" t="s">
        <v>28</v>
      </c>
      <c r="E43" s="1" t="s">
        <v>41</v>
      </c>
      <c r="F43" s="2">
        <v>40215</v>
      </c>
      <c r="G43" s="1">
        <v>382392299</v>
      </c>
      <c r="H43" s="2">
        <v>40234</v>
      </c>
      <c r="I43" s="1">
        <v>7234</v>
      </c>
      <c r="J43" s="1">
        <v>437.2</v>
      </c>
      <c r="K43" s="1">
        <v>263.33</v>
      </c>
      <c r="L43" s="1">
        <v>3162704.8</v>
      </c>
      <c r="M43" s="1">
        <v>1904929.22</v>
      </c>
      <c r="N43" s="1">
        <v>1257775.58</v>
      </c>
      <c r="O43" s="4" t="str">
        <f t="shared" si="0"/>
        <v>2010-02</v>
      </c>
      <c r="P43" s="3">
        <f t="shared" si="1"/>
        <v>2010</v>
      </c>
      <c r="Q43" s="1" t="s">
        <v>56</v>
      </c>
      <c r="R43" s="3">
        <f t="shared" si="2"/>
        <v>21966810.27</v>
      </c>
      <c r="S43" s="1">
        <f t="shared" si="3"/>
        <v>1334626.0508474577</v>
      </c>
      <c r="T43" s="1">
        <f t="shared" si="4"/>
        <v>17</v>
      </c>
    </row>
    <row r="44" spans="1:20" x14ac:dyDescent="0.25">
      <c r="A44" s="1" t="s">
        <v>34</v>
      </c>
      <c r="B44" s="1" t="s">
        <v>70</v>
      </c>
      <c r="C44" s="1" t="s">
        <v>27</v>
      </c>
      <c r="D44" s="1" t="s">
        <v>23</v>
      </c>
      <c r="E44" s="1" t="s">
        <v>24</v>
      </c>
      <c r="F44" s="2">
        <v>41067</v>
      </c>
      <c r="G44" s="1">
        <v>994022214</v>
      </c>
      <c r="H44" s="2">
        <v>41068</v>
      </c>
      <c r="I44" s="1">
        <v>2117</v>
      </c>
      <c r="J44" s="1">
        <v>205.7</v>
      </c>
      <c r="K44" s="1">
        <v>117.11</v>
      </c>
      <c r="L44" s="1">
        <v>435466.9</v>
      </c>
      <c r="M44" s="1">
        <v>247921.87</v>
      </c>
      <c r="N44" s="1">
        <v>187545.03</v>
      </c>
      <c r="O44" s="4" t="str">
        <f t="shared" si="0"/>
        <v>2012-06</v>
      </c>
      <c r="P44" s="3">
        <f t="shared" si="1"/>
        <v>2012</v>
      </c>
      <c r="Q44" s="1" t="s">
        <v>27</v>
      </c>
      <c r="R44" s="3">
        <f t="shared" si="2"/>
        <v>21966810.27</v>
      </c>
      <c r="S44" s="1">
        <f t="shared" si="3"/>
        <v>1303107.4517241379</v>
      </c>
      <c r="T44" s="1">
        <f t="shared" si="4"/>
        <v>16</v>
      </c>
    </row>
    <row r="45" spans="1:20" x14ac:dyDescent="0.25">
      <c r="A45" s="1" t="s">
        <v>30</v>
      </c>
      <c r="B45" s="1" t="s">
        <v>82</v>
      </c>
      <c r="C45" s="1" t="s">
        <v>43</v>
      </c>
      <c r="D45" s="1" t="s">
        <v>28</v>
      </c>
      <c r="E45" s="1" t="s">
        <v>24</v>
      </c>
      <c r="F45" s="2">
        <v>41188</v>
      </c>
      <c r="G45" s="1">
        <v>759224212</v>
      </c>
      <c r="H45" s="2">
        <v>41223</v>
      </c>
      <c r="I45" s="1">
        <v>171</v>
      </c>
      <c r="J45" s="1">
        <v>154.06</v>
      </c>
      <c r="K45" s="1">
        <v>90.93</v>
      </c>
      <c r="L45" s="1">
        <v>26344.26</v>
      </c>
      <c r="M45" s="1">
        <v>15549.03</v>
      </c>
      <c r="N45" s="1">
        <v>10795.23</v>
      </c>
      <c r="O45" s="4" t="str">
        <f t="shared" si="0"/>
        <v>2012-10</v>
      </c>
      <c r="P45" s="3">
        <f t="shared" si="1"/>
        <v>2012</v>
      </c>
      <c r="Q45" s="1" t="s">
        <v>43</v>
      </c>
      <c r="R45" s="3">
        <f t="shared" si="2"/>
        <v>21966810.27</v>
      </c>
      <c r="S45" s="1">
        <f t="shared" si="3"/>
        <v>1318329.2157894736</v>
      </c>
      <c r="T45" s="1">
        <f t="shared" si="4"/>
        <v>16</v>
      </c>
    </row>
    <row r="46" spans="1:20" x14ac:dyDescent="0.25">
      <c r="A46" s="1" t="s">
        <v>47</v>
      </c>
      <c r="B46" s="1" t="s">
        <v>74</v>
      </c>
      <c r="C46" s="1" t="s">
        <v>50</v>
      </c>
      <c r="D46" s="1" t="s">
        <v>28</v>
      </c>
      <c r="E46" s="1" t="s">
        <v>24</v>
      </c>
      <c r="F46" s="2">
        <v>42322</v>
      </c>
      <c r="G46" s="1">
        <v>223359620</v>
      </c>
      <c r="H46" s="2">
        <v>42326</v>
      </c>
      <c r="I46" s="1">
        <v>5930</v>
      </c>
      <c r="J46" s="1">
        <v>109.28</v>
      </c>
      <c r="K46" s="1">
        <v>35.840000000000003</v>
      </c>
      <c r="L46" s="1">
        <v>648030.4</v>
      </c>
      <c r="M46" s="1">
        <v>212531.20000000001</v>
      </c>
      <c r="N46" s="1">
        <v>435499.2</v>
      </c>
      <c r="O46" s="4" t="str">
        <f t="shared" si="0"/>
        <v>2015-11</v>
      </c>
      <c r="P46" s="3">
        <f t="shared" si="1"/>
        <v>2015</v>
      </c>
      <c r="Q46" s="1" t="s">
        <v>50</v>
      </c>
      <c r="R46" s="3">
        <f t="shared" si="2"/>
        <v>21940466.009999998</v>
      </c>
      <c r="S46" s="1">
        <f t="shared" si="3"/>
        <v>1341400.3757142855</v>
      </c>
      <c r="T46" s="1">
        <f t="shared" si="4"/>
        <v>16</v>
      </c>
    </row>
    <row r="47" spans="1:20" x14ac:dyDescent="0.25">
      <c r="A47" s="1" t="s">
        <v>34</v>
      </c>
      <c r="B47" s="1" t="s">
        <v>83</v>
      </c>
      <c r="C47" s="1" t="s">
        <v>27</v>
      </c>
      <c r="D47" s="1" t="s">
        <v>23</v>
      </c>
      <c r="E47" s="1" t="s">
        <v>24</v>
      </c>
      <c r="F47" s="2">
        <v>42458</v>
      </c>
      <c r="G47" s="1">
        <v>902102267</v>
      </c>
      <c r="H47" s="2">
        <v>42489</v>
      </c>
      <c r="I47" s="1">
        <v>962</v>
      </c>
      <c r="J47" s="1">
        <v>205.7</v>
      </c>
      <c r="K47" s="1">
        <v>117.11</v>
      </c>
      <c r="L47" s="1">
        <v>197883.4</v>
      </c>
      <c r="M47" s="1">
        <v>112659.82</v>
      </c>
      <c r="N47" s="1">
        <v>85223.58</v>
      </c>
      <c r="O47" s="4" t="str">
        <f t="shared" si="0"/>
        <v>2016-03</v>
      </c>
      <c r="P47" s="3">
        <f t="shared" si="1"/>
        <v>2016</v>
      </c>
      <c r="Q47" s="1" t="s">
        <v>27</v>
      </c>
      <c r="R47" s="3">
        <f t="shared" si="2"/>
        <v>21940466.009999998</v>
      </c>
      <c r="S47" s="1">
        <f t="shared" si="3"/>
        <v>1354007.1025454546</v>
      </c>
      <c r="T47" s="1">
        <f t="shared" si="4"/>
        <v>16</v>
      </c>
    </row>
    <row r="48" spans="1:20" x14ac:dyDescent="0.25">
      <c r="A48" s="1" t="s">
        <v>30</v>
      </c>
      <c r="B48" s="1" t="s">
        <v>84</v>
      </c>
      <c r="C48" s="1" t="s">
        <v>56</v>
      </c>
      <c r="D48" s="1" t="s">
        <v>28</v>
      </c>
      <c r="E48" s="1" t="s">
        <v>29</v>
      </c>
      <c r="F48" s="2">
        <v>42735</v>
      </c>
      <c r="G48" s="1">
        <v>331438481</v>
      </c>
      <c r="H48" s="2">
        <v>42735</v>
      </c>
      <c r="I48" s="1">
        <v>8867</v>
      </c>
      <c r="J48" s="1">
        <v>437.2</v>
      </c>
      <c r="K48" s="1">
        <v>263.33</v>
      </c>
      <c r="L48" s="1">
        <v>3876652.4</v>
      </c>
      <c r="M48" s="1">
        <v>2334947.11</v>
      </c>
      <c r="N48" s="1">
        <v>1541705.29</v>
      </c>
      <c r="O48" s="4" t="str">
        <f t="shared" si="0"/>
        <v>2016-12</v>
      </c>
      <c r="P48" s="3">
        <f t="shared" si="1"/>
        <v>2016</v>
      </c>
      <c r="Q48" s="1" t="s">
        <v>56</v>
      </c>
      <c r="R48" s="3">
        <f t="shared" si="2"/>
        <v>21940466.009999998</v>
      </c>
      <c r="S48" s="1">
        <f t="shared" si="3"/>
        <v>1375416.8007407407</v>
      </c>
      <c r="T48" s="1">
        <f t="shared" si="4"/>
        <v>16</v>
      </c>
    </row>
    <row r="49" spans="1:20" x14ac:dyDescent="0.25">
      <c r="A49" s="1" t="s">
        <v>30</v>
      </c>
      <c r="B49" s="1" t="s">
        <v>71</v>
      </c>
      <c r="C49" s="1" t="s">
        <v>45</v>
      </c>
      <c r="D49" s="1" t="s">
        <v>28</v>
      </c>
      <c r="E49" s="1" t="s">
        <v>41</v>
      </c>
      <c r="F49" s="2">
        <v>40535</v>
      </c>
      <c r="G49" s="1">
        <v>617667090</v>
      </c>
      <c r="H49" s="2">
        <v>40574</v>
      </c>
      <c r="I49" s="1">
        <v>273</v>
      </c>
      <c r="J49" s="1">
        <v>81.73</v>
      </c>
      <c r="K49" s="1">
        <v>56.67</v>
      </c>
      <c r="L49" s="1">
        <v>22312.29</v>
      </c>
      <c r="M49" s="1">
        <v>15470.91</v>
      </c>
      <c r="N49" s="1">
        <v>6841.38</v>
      </c>
      <c r="O49" s="4" t="str">
        <f t="shared" si="0"/>
        <v>2010-12</v>
      </c>
      <c r="P49" s="3">
        <f t="shared" si="1"/>
        <v>2010</v>
      </c>
      <c r="Q49" s="1" t="s">
        <v>45</v>
      </c>
      <c r="R49" s="3">
        <f t="shared" si="2"/>
        <v>18063813.609999999</v>
      </c>
      <c r="S49" s="1">
        <f t="shared" si="3"/>
        <v>1328223.676226415</v>
      </c>
      <c r="T49" s="1">
        <f t="shared" si="4"/>
        <v>15</v>
      </c>
    </row>
    <row r="50" spans="1:20" x14ac:dyDescent="0.25">
      <c r="A50" s="1" t="s">
        <v>30</v>
      </c>
      <c r="B50" s="1" t="s">
        <v>85</v>
      </c>
      <c r="C50" s="1" t="s">
        <v>50</v>
      </c>
      <c r="D50" s="1" t="s">
        <v>23</v>
      </c>
      <c r="E50" s="1" t="s">
        <v>29</v>
      </c>
      <c r="F50" s="2">
        <v>41926</v>
      </c>
      <c r="G50" s="1">
        <v>787399423</v>
      </c>
      <c r="H50" s="2">
        <v>41957</v>
      </c>
      <c r="I50" s="1">
        <v>7842</v>
      </c>
      <c r="J50" s="1">
        <v>109.28</v>
      </c>
      <c r="K50" s="1">
        <v>35.840000000000003</v>
      </c>
      <c r="L50" s="1">
        <v>856973.76</v>
      </c>
      <c r="M50" s="1">
        <v>281057.28000000003</v>
      </c>
      <c r="N50" s="1">
        <v>575916.48</v>
      </c>
      <c r="O50" s="4" t="str">
        <f t="shared" si="0"/>
        <v>2014-10</v>
      </c>
      <c r="P50" s="3">
        <f t="shared" si="1"/>
        <v>2014</v>
      </c>
      <c r="Q50" s="1" t="s">
        <v>50</v>
      </c>
      <c r="R50" s="3">
        <f t="shared" si="2"/>
        <v>18041501.32</v>
      </c>
      <c r="S50" s="1">
        <f t="shared" si="3"/>
        <v>1353337.3567307689</v>
      </c>
      <c r="T50" s="1">
        <f t="shared" si="4"/>
        <v>15</v>
      </c>
    </row>
    <row r="51" spans="1:20" x14ac:dyDescent="0.25">
      <c r="A51" s="1" t="s">
        <v>34</v>
      </c>
      <c r="B51" s="1" t="s">
        <v>86</v>
      </c>
      <c r="C51" s="1" t="s">
        <v>32</v>
      </c>
      <c r="D51" s="1" t="s">
        <v>23</v>
      </c>
      <c r="E51" s="1" t="s">
        <v>29</v>
      </c>
      <c r="F51" s="2">
        <v>40919</v>
      </c>
      <c r="G51" s="1">
        <v>837559306</v>
      </c>
      <c r="H51" s="2">
        <v>40921</v>
      </c>
      <c r="I51" s="1">
        <v>1266</v>
      </c>
      <c r="J51" s="1">
        <v>651.21</v>
      </c>
      <c r="K51" s="1">
        <v>524.96</v>
      </c>
      <c r="L51" s="1">
        <v>824431.86</v>
      </c>
      <c r="M51" s="1">
        <v>664599.36</v>
      </c>
      <c r="N51" s="1">
        <v>159832.5</v>
      </c>
      <c r="O51" s="4" t="str">
        <f t="shared" si="0"/>
        <v>2012-01</v>
      </c>
      <c r="P51" s="3">
        <f t="shared" si="1"/>
        <v>2012</v>
      </c>
      <c r="Q51" s="1" t="s">
        <v>32</v>
      </c>
      <c r="R51" s="3">
        <f t="shared" si="2"/>
        <v>17184527.559999999</v>
      </c>
      <c r="S51" s="1">
        <f t="shared" si="3"/>
        <v>1363069.9762745097</v>
      </c>
      <c r="T51" s="1">
        <f t="shared" si="4"/>
        <v>15</v>
      </c>
    </row>
    <row r="52" spans="1:20" x14ac:dyDescent="0.25">
      <c r="A52" s="1" t="s">
        <v>30</v>
      </c>
      <c r="B52" s="1" t="s">
        <v>87</v>
      </c>
      <c r="C52" s="1" t="s">
        <v>50</v>
      </c>
      <c r="D52" s="1" t="s">
        <v>28</v>
      </c>
      <c r="E52" s="1" t="s">
        <v>29</v>
      </c>
      <c r="F52" s="2">
        <v>40211</v>
      </c>
      <c r="G52" s="1">
        <v>385383069</v>
      </c>
      <c r="H52" s="2">
        <v>40255</v>
      </c>
      <c r="I52" s="1">
        <v>2269</v>
      </c>
      <c r="J52" s="1">
        <v>109.28</v>
      </c>
      <c r="K52" s="1">
        <v>35.840000000000003</v>
      </c>
      <c r="L52" s="1">
        <v>247956.32</v>
      </c>
      <c r="M52" s="1">
        <v>81320.960000000006</v>
      </c>
      <c r="N52" s="1">
        <v>166635.35999999999</v>
      </c>
      <c r="O52" s="4" t="str">
        <f t="shared" si="0"/>
        <v>2010-02</v>
      </c>
      <c r="P52" s="3">
        <f t="shared" si="1"/>
        <v>2010</v>
      </c>
      <c r="Q52" s="1" t="s">
        <v>50</v>
      </c>
      <c r="R52" s="3">
        <f t="shared" si="2"/>
        <v>17184527.559999999</v>
      </c>
      <c r="S52" s="1">
        <f t="shared" si="3"/>
        <v>1373842.7385999998</v>
      </c>
      <c r="T52" s="1">
        <f t="shared" si="4"/>
        <v>15</v>
      </c>
    </row>
    <row r="53" spans="1:20" x14ac:dyDescent="0.25">
      <c r="A53" s="1" t="s">
        <v>34</v>
      </c>
      <c r="B53" s="1" t="s">
        <v>88</v>
      </c>
      <c r="C53" s="1" t="s">
        <v>36</v>
      </c>
      <c r="D53" s="1" t="s">
        <v>28</v>
      </c>
      <c r="E53" s="1" t="s">
        <v>33</v>
      </c>
      <c r="F53" s="2">
        <v>41504</v>
      </c>
      <c r="G53" s="1">
        <v>918419539</v>
      </c>
      <c r="H53" s="2">
        <v>41535</v>
      </c>
      <c r="I53" s="1">
        <v>9606</v>
      </c>
      <c r="J53" s="1">
        <v>9.33</v>
      </c>
      <c r="K53" s="1">
        <v>6.92</v>
      </c>
      <c r="L53" s="1">
        <v>89623.98</v>
      </c>
      <c r="M53" s="1">
        <v>66473.52</v>
      </c>
      <c r="N53" s="1">
        <v>23150.46</v>
      </c>
      <c r="O53" s="4" t="str">
        <f t="shared" si="0"/>
        <v>2013-08</v>
      </c>
      <c r="P53" s="3">
        <f t="shared" si="1"/>
        <v>2013</v>
      </c>
      <c r="Q53" s="1" t="s">
        <v>36</v>
      </c>
      <c r="R53" s="3">
        <f t="shared" si="2"/>
        <v>16936571.240000002</v>
      </c>
      <c r="S53" s="1">
        <f t="shared" si="3"/>
        <v>1396820.0124489793</v>
      </c>
      <c r="T53" s="1">
        <f t="shared" si="4"/>
        <v>15</v>
      </c>
    </row>
    <row r="54" spans="1:20" x14ac:dyDescent="0.25">
      <c r="A54" s="1" t="s">
        <v>77</v>
      </c>
      <c r="B54" s="1" t="s">
        <v>89</v>
      </c>
      <c r="C54" s="1" t="s">
        <v>27</v>
      </c>
      <c r="D54" s="1" t="s">
        <v>28</v>
      </c>
      <c r="E54" s="1" t="s">
        <v>41</v>
      </c>
      <c r="F54" s="2">
        <v>41358</v>
      </c>
      <c r="G54" s="1">
        <v>844530045</v>
      </c>
      <c r="H54" s="2">
        <v>41361</v>
      </c>
      <c r="I54" s="1">
        <v>4063</v>
      </c>
      <c r="J54" s="1">
        <v>205.7</v>
      </c>
      <c r="K54" s="1">
        <v>117.11</v>
      </c>
      <c r="L54" s="1">
        <v>835759.1</v>
      </c>
      <c r="M54" s="1">
        <v>475817.93</v>
      </c>
      <c r="N54" s="1">
        <v>359941.17</v>
      </c>
      <c r="O54" s="4" t="str">
        <f t="shared" si="0"/>
        <v>2013-03</v>
      </c>
      <c r="P54" s="3">
        <f t="shared" si="1"/>
        <v>2013</v>
      </c>
      <c r="Q54" s="1" t="s">
        <v>27</v>
      </c>
      <c r="R54" s="3">
        <f t="shared" si="2"/>
        <v>16936571.240000002</v>
      </c>
      <c r="S54" s="1">
        <f t="shared" si="3"/>
        <v>1424053.2631249996</v>
      </c>
      <c r="T54" s="1">
        <f t="shared" si="4"/>
        <v>15</v>
      </c>
    </row>
    <row r="55" spans="1:20" x14ac:dyDescent="0.25">
      <c r="A55" s="1" t="s">
        <v>34</v>
      </c>
      <c r="B55" s="1" t="s">
        <v>90</v>
      </c>
      <c r="C55" s="1" t="s">
        <v>32</v>
      </c>
      <c r="D55" s="1" t="s">
        <v>23</v>
      </c>
      <c r="E55" s="1" t="s">
        <v>41</v>
      </c>
      <c r="F55" s="2">
        <v>40873</v>
      </c>
      <c r="G55" s="1">
        <v>441888415</v>
      </c>
      <c r="H55" s="2">
        <v>40915</v>
      </c>
      <c r="I55" s="1">
        <v>3457</v>
      </c>
      <c r="J55" s="1">
        <v>651.21</v>
      </c>
      <c r="K55" s="1">
        <v>524.96</v>
      </c>
      <c r="L55" s="1">
        <v>2251232.9700000002</v>
      </c>
      <c r="M55" s="1">
        <v>1814786.72</v>
      </c>
      <c r="N55" s="1">
        <v>436446.25</v>
      </c>
      <c r="O55" s="4" t="str">
        <f t="shared" si="0"/>
        <v>2011-11</v>
      </c>
      <c r="P55" s="3">
        <f t="shared" si="1"/>
        <v>2011</v>
      </c>
      <c r="Q55" s="1" t="s">
        <v>32</v>
      </c>
      <c r="R55" s="3">
        <f t="shared" si="2"/>
        <v>16936571.240000002</v>
      </c>
      <c r="S55" s="1">
        <f t="shared" si="3"/>
        <v>1436570.1602127657</v>
      </c>
      <c r="T55" s="1">
        <f t="shared" si="4"/>
        <v>15</v>
      </c>
    </row>
    <row r="56" spans="1:20" x14ac:dyDescent="0.25">
      <c r="A56" s="1" t="s">
        <v>34</v>
      </c>
      <c r="B56" s="1" t="s">
        <v>35</v>
      </c>
      <c r="C56" s="1" t="s">
        <v>36</v>
      </c>
      <c r="D56" s="1" t="s">
        <v>23</v>
      </c>
      <c r="E56" s="1" t="s">
        <v>24</v>
      </c>
      <c r="F56" s="2">
        <v>41534</v>
      </c>
      <c r="G56" s="1">
        <v>508980977</v>
      </c>
      <c r="H56" s="2">
        <v>41571</v>
      </c>
      <c r="I56" s="1">
        <v>7637</v>
      </c>
      <c r="J56" s="1">
        <v>9.33</v>
      </c>
      <c r="K56" s="1">
        <v>6.92</v>
      </c>
      <c r="L56" s="1">
        <v>71253.210000000006</v>
      </c>
      <c r="M56" s="1">
        <v>52848.04</v>
      </c>
      <c r="N56" s="1">
        <v>18405.169999999998</v>
      </c>
      <c r="O56" s="4" t="str">
        <f t="shared" si="0"/>
        <v>2013-09</v>
      </c>
      <c r="P56" s="3">
        <f t="shared" si="1"/>
        <v>2013</v>
      </c>
      <c r="Q56" s="1" t="s">
        <v>36</v>
      </c>
      <c r="R56" s="3">
        <f t="shared" si="2"/>
        <v>16936571.240000002</v>
      </c>
      <c r="S56" s="1">
        <f t="shared" si="3"/>
        <v>1418860.0991304344</v>
      </c>
      <c r="T56" s="1">
        <f t="shared" si="4"/>
        <v>14</v>
      </c>
    </row>
    <row r="57" spans="1:20" x14ac:dyDescent="0.25">
      <c r="A57" s="1" t="s">
        <v>34</v>
      </c>
      <c r="B57" s="1" t="s">
        <v>91</v>
      </c>
      <c r="C57" s="1" t="s">
        <v>50</v>
      </c>
      <c r="D57" s="1" t="s">
        <v>28</v>
      </c>
      <c r="E57" s="1" t="s">
        <v>29</v>
      </c>
      <c r="F57" s="2">
        <v>41068</v>
      </c>
      <c r="G57" s="1">
        <v>114606559</v>
      </c>
      <c r="H57" s="2">
        <v>41087</v>
      </c>
      <c r="I57" s="1">
        <v>3482</v>
      </c>
      <c r="J57" s="1">
        <v>109.28</v>
      </c>
      <c r="K57" s="1">
        <v>35.840000000000003</v>
      </c>
      <c r="L57" s="1">
        <v>380512.96</v>
      </c>
      <c r="M57" s="1">
        <v>124794.88</v>
      </c>
      <c r="N57" s="1">
        <v>255718.08</v>
      </c>
      <c r="O57" s="4" t="str">
        <f t="shared" si="0"/>
        <v>2012-06</v>
      </c>
      <c r="P57" s="3">
        <f t="shared" si="1"/>
        <v>2012</v>
      </c>
      <c r="Q57" s="1" t="s">
        <v>50</v>
      </c>
      <c r="R57" s="3">
        <f t="shared" si="2"/>
        <v>16936571.240000002</v>
      </c>
      <c r="S57" s="1">
        <f t="shared" si="3"/>
        <v>1448806.9188888888</v>
      </c>
      <c r="T57" s="1">
        <f t="shared" si="4"/>
        <v>14</v>
      </c>
    </row>
    <row r="58" spans="1:20" x14ac:dyDescent="0.25">
      <c r="A58" s="1" t="s">
        <v>20</v>
      </c>
      <c r="B58" s="1" t="s">
        <v>92</v>
      </c>
      <c r="C58" s="1" t="s">
        <v>50</v>
      </c>
      <c r="D58" s="1" t="s">
        <v>23</v>
      </c>
      <c r="E58" s="1" t="s">
        <v>29</v>
      </c>
      <c r="F58" s="2">
        <v>40359</v>
      </c>
      <c r="G58" s="1">
        <v>647876489</v>
      </c>
      <c r="H58" s="2">
        <v>40391</v>
      </c>
      <c r="I58" s="1">
        <v>9905</v>
      </c>
      <c r="J58" s="1">
        <v>109.28</v>
      </c>
      <c r="K58" s="1">
        <v>35.840000000000003</v>
      </c>
      <c r="L58" s="1">
        <v>1082418.3999999999</v>
      </c>
      <c r="M58" s="1">
        <v>354995.20000000001</v>
      </c>
      <c r="N58" s="1">
        <v>727423.2</v>
      </c>
      <c r="O58" s="4" t="str">
        <f t="shared" si="0"/>
        <v>2010-06</v>
      </c>
      <c r="P58" s="3">
        <f t="shared" si="1"/>
        <v>2010</v>
      </c>
      <c r="Q58" s="1" t="s">
        <v>50</v>
      </c>
      <c r="R58" s="3">
        <f t="shared" si="2"/>
        <v>16936571.240000002</v>
      </c>
      <c r="S58" s="1">
        <f t="shared" si="3"/>
        <v>1473086.3270454542</v>
      </c>
      <c r="T58" s="1">
        <f t="shared" si="4"/>
        <v>14</v>
      </c>
    </row>
    <row r="59" spans="1:20" x14ac:dyDescent="0.25">
      <c r="A59" s="1" t="s">
        <v>30</v>
      </c>
      <c r="B59" s="1" t="s">
        <v>93</v>
      </c>
      <c r="C59" s="1" t="s">
        <v>56</v>
      </c>
      <c r="D59" s="1" t="s">
        <v>23</v>
      </c>
      <c r="E59" s="1" t="s">
        <v>24</v>
      </c>
      <c r="F59" s="2">
        <v>42058</v>
      </c>
      <c r="G59" s="1">
        <v>868214595</v>
      </c>
      <c r="H59" s="2">
        <v>42065</v>
      </c>
      <c r="I59" s="1">
        <v>2847</v>
      </c>
      <c r="J59" s="1">
        <v>437.2</v>
      </c>
      <c r="K59" s="1">
        <v>263.33</v>
      </c>
      <c r="L59" s="1">
        <v>1244708.3999999999</v>
      </c>
      <c r="M59" s="1">
        <v>749700.51</v>
      </c>
      <c r="N59" s="1">
        <v>495007.89</v>
      </c>
      <c r="O59" s="4" t="str">
        <f t="shared" si="0"/>
        <v>2015-02</v>
      </c>
      <c r="P59" s="3">
        <f t="shared" si="1"/>
        <v>2015</v>
      </c>
      <c r="Q59" s="1" t="s">
        <v>56</v>
      </c>
      <c r="R59" s="3">
        <f t="shared" si="2"/>
        <v>16936571.240000002</v>
      </c>
      <c r="S59" s="1">
        <f t="shared" si="3"/>
        <v>1482171.6276744185</v>
      </c>
      <c r="T59" s="1">
        <f t="shared" si="4"/>
        <v>14</v>
      </c>
    </row>
    <row r="60" spans="1:20" x14ac:dyDescent="0.25">
      <c r="A60" s="1" t="s">
        <v>30</v>
      </c>
      <c r="B60" s="1" t="s">
        <v>94</v>
      </c>
      <c r="C60" s="1" t="s">
        <v>40</v>
      </c>
      <c r="D60" s="1" t="s">
        <v>28</v>
      </c>
      <c r="E60" s="1" t="s">
        <v>33</v>
      </c>
      <c r="F60" s="2">
        <v>40913</v>
      </c>
      <c r="G60" s="1">
        <v>955357205</v>
      </c>
      <c r="H60" s="2">
        <v>40953</v>
      </c>
      <c r="I60" s="1">
        <v>282</v>
      </c>
      <c r="J60" s="1">
        <v>668.27</v>
      </c>
      <c r="K60" s="1">
        <v>502.54</v>
      </c>
      <c r="L60" s="1">
        <v>188452.14</v>
      </c>
      <c r="M60" s="1">
        <v>141716.28</v>
      </c>
      <c r="N60" s="1">
        <v>46735.86</v>
      </c>
      <c r="O60" s="4" t="str">
        <f t="shared" si="0"/>
        <v>2012-01</v>
      </c>
      <c r="P60" s="3">
        <f t="shared" si="1"/>
        <v>2012</v>
      </c>
      <c r="Q60" s="1" t="s">
        <v>40</v>
      </c>
      <c r="R60" s="3">
        <f t="shared" si="2"/>
        <v>15691862.84</v>
      </c>
      <c r="S60" s="1">
        <f t="shared" si="3"/>
        <v>1487825.5140476187</v>
      </c>
      <c r="T60" s="1">
        <f t="shared" si="4"/>
        <v>14</v>
      </c>
    </row>
    <row r="61" spans="1:20" x14ac:dyDescent="0.25">
      <c r="A61" s="1" t="s">
        <v>34</v>
      </c>
      <c r="B61" s="1" t="s">
        <v>75</v>
      </c>
      <c r="C61" s="1" t="s">
        <v>56</v>
      </c>
      <c r="D61" s="1" t="s">
        <v>23</v>
      </c>
      <c r="E61" s="1" t="s">
        <v>24</v>
      </c>
      <c r="F61" s="2">
        <v>41736</v>
      </c>
      <c r="G61" s="1">
        <v>259353148</v>
      </c>
      <c r="H61" s="2">
        <v>41748</v>
      </c>
      <c r="I61" s="1">
        <v>7215</v>
      </c>
      <c r="J61" s="1">
        <v>437.2</v>
      </c>
      <c r="K61" s="1">
        <v>263.33</v>
      </c>
      <c r="L61" s="1">
        <v>3154398</v>
      </c>
      <c r="M61" s="1">
        <v>1899925.95</v>
      </c>
      <c r="N61" s="1">
        <v>1254472.05</v>
      </c>
      <c r="O61" s="4" t="str">
        <f t="shared" si="0"/>
        <v>2014-04</v>
      </c>
      <c r="P61" s="3">
        <f t="shared" si="1"/>
        <v>2014</v>
      </c>
      <c r="Q61" s="1" t="s">
        <v>56</v>
      </c>
      <c r="R61" s="3">
        <f t="shared" si="2"/>
        <v>15503410.699999999</v>
      </c>
      <c r="S61" s="1">
        <f t="shared" si="3"/>
        <v>1519517.5475609754</v>
      </c>
      <c r="T61" s="1">
        <f t="shared" si="4"/>
        <v>14</v>
      </c>
    </row>
    <row r="62" spans="1:20" x14ac:dyDescent="0.25">
      <c r="A62" s="1" t="s">
        <v>20</v>
      </c>
      <c r="B62" s="1" t="s">
        <v>73</v>
      </c>
      <c r="C62" s="1" t="s">
        <v>27</v>
      </c>
      <c r="D62" s="1" t="s">
        <v>23</v>
      </c>
      <c r="E62" s="1" t="s">
        <v>24</v>
      </c>
      <c r="F62" s="2">
        <v>41434</v>
      </c>
      <c r="G62" s="1">
        <v>450563752</v>
      </c>
      <c r="H62" s="2">
        <v>41457</v>
      </c>
      <c r="I62" s="1">
        <v>682</v>
      </c>
      <c r="J62" s="1">
        <v>205.7</v>
      </c>
      <c r="K62" s="1">
        <v>117.11</v>
      </c>
      <c r="L62" s="1">
        <v>140287.4</v>
      </c>
      <c r="M62" s="1">
        <v>79869.02</v>
      </c>
      <c r="N62" s="1">
        <v>60418.38</v>
      </c>
      <c r="O62" s="4" t="str">
        <f t="shared" si="0"/>
        <v>2013-06</v>
      </c>
      <c r="P62" s="3">
        <f t="shared" si="1"/>
        <v>2013</v>
      </c>
      <c r="Q62" s="1" t="s">
        <v>27</v>
      </c>
      <c r="R62" s="3">
        <f t="shared" si="2"/>
        <v>15503410.699999999</v>
      </c>
      <c r="S62" s="1">
        <f t="shared" si="3"/>
        <v>1478645.5362499997</v>
      </c>
      <c r="T62" s="1">
        <f t="shared" si="4"/>
        <v>13</v>
      </c>
    </row>
    <row r="63" spans="1:20" x14ac:dyDescent="0.25">
      <c r="A63" s="1" t="s">
        <v>30</v>
      </c>
      <c r="B63" s="1" t="s">
        <v>95</v>
      </c>
      <c r="C63" s="1" t="s">
        <v>22</v>
      </c>
      <c r="D63" s="1" t="s">
        <v>28</v>
      </c>
      <c r="E63" s="1" t="s">
        <v>33</v>
      </c>
      <c r="F63" s="2">
        <v>41451</v>
      </c>
      <c r="G63" s="1">
        <v>569662845</v>
      </c>
      <c r="H63" s="2">
        <v>41456</v>
      </c>
      <c r="I63" s="1">
        <v>4750</v>
      </c>
      <c r="J63" s="1">
        <v>255.28</v>
      </c>
      <c r="K63" s="1">
        <v>159.41999999999999</v>
      </c>
      <c r="L63" s="1">
        <v>1212580</v>
      </c>
      <c r="M63" s="1">
        <v>757245</v>
      </c>
      <c r="N63" s="1">
        <v>455335</v>
      </c>
      <c r="O63" s="4" t="str">
        <f t="shared" si="0"/>
        <v>2013-06</v>
      </c>
      <c r="P63" s="3">
        <f t="shared" si="1"/>
        <v>2013</v>
      </c>
      <c r="Q63" s="1" t="s">
        <v>22</v>
      </c>
      <c r="R63" s="3">
        <f t="shared" si="2"/>
        <v>15503410.699999999</v>
      </c>
      <c r="S63" s="1">
        <f t="shared" si="3"/>
        <v>1512962.411538461</v>
      </c>
      <c r="T63" s="1">
        <f t="shared" si="4"/>
        <v>13</v>
      </c>
    </row>
    <row r="64" spans="1:20" x14ac:dyDescent="0.25">
      <c r="A64" s="1" t="s">
        <v>34</v>
      </c>
      <c r="B64" s="1" t="s">
        <v>57</v>
      </c>
      <c r="C64" s="1" t="s">
        <v>32</v>
      </c>
      <c r="D64" s="1" t="s">
        <v>28</v>
      </c>
      <c r="E64" s="1" t="s">
        <v>41</v>
      </c>
      <c r="F64" s="2">
        <v>40854</v>
      </c>
      <c r="G64" s="1">
        <v>177636754</v>
      </c>
      <c r="H64" s="2">
        <v>40862</v>
      </c>
      <c r="I64" s="1">
        <v>5518</v>
      </c>
      <c r="J64" s="1">
        <v>651.21</v>
      </c>
      <c r="K64" s="1">
        <v>524.96</v>
      </c>
      <c r="L64" s="1">
        <v>3593376.78</v>
      </c>
      <c r="M64" s="1">
        <v>2896729.28</v>
      </c>
      <c r="N64" s="1">
        <v>696647.5</v>
      </c>
      <c r="O64" s="4" t="str">
        <f t="shared" si="0"/>
        <v>2011-11</v>
      </c>
      <c r="P64" s="3">
        <f t="shared" si="1"/>
        <v>2011</v>
      </c>
      <c r="Q64" s="1" t="s">
        <v>32</v>
      </c>
      <c r="R64" s="3">
        <f t="shared" si="2"/>
        <v>14290830.699999999</v>
      </c>
      <c r="S64" s="1">
        <f t="shared" si="3"/>
        <v>1520867.2118421048</v>
      </c>
      <c r="T64" s="1">
        <f t="shared" si="4"/>
        <v>13</v>
      </c>
    </row>
    <row r="65" spans="1:20" x14ac:dyDescent="0.25">
      <c r="A65" s="1" t="s">
        <v>77</v>
      </c>
      <c r="B65" s="1" t="s">
        <v>96</v>
      </c>
      <c r="C65" s="1" t="s">
        <v>50</v>
      </c>
      <c r="D65" s="1" t="s">
        <v>23</v>
      </c>
      <c r="E65" s="1" t="s">
        <v>24</v>
      </c>
      <c r="F65" s="2">
        <v>40481</v>
      </c>
      <c r="G65" s="1">
        <v>705784308</v>
      </c>
      <c r="H65" s="2">
        <v>40499</v>
      </c>
      <c r="I65" s="1">
        <v>6116</v>
      </c>
      <c r="J65" s="1">
        <v>109.28</v>
      </c>
      <c r="K65" s="1">
        <v>35.840000000000003</v>
      </c>
      <c r="L65" s="1">
        <v>668356.48</v>
      </c>
      <c r="M65" s="1">
        <v>219197.44</v>
      </c>
      <c r="N65" s="1">
        <v>449159.04</v>
      </c>
      <c r="O65" s="4" t="str">
        <f t="shared" si="0"/>
        <v>2010-10</v>
      </c>
      <c r="P65" s="3">
        <f t="shared" si="1"/>
        <v>2010</v>
      </c>
      <c r="Q65" s="1" t="s">
        <v>50</v>
      </c>
      <c r="R65" s="3">
        <f t="shared" si="2"/>
        <v>14290830.699999999</v>
      </c>
      <c r="S65" s="1">
        <f t="shared" si="3"/>
        <v>1464853.4397297297</v>
      </c>
      <c r="T65" s="1">
        <f t="shared" si="4"/>
        <v>12</v>
      </c>
    </row>
    <row r="66" spans="1:20" x14ac:dyDescent="0.25">
      <c r="A66" s="1" t="s">
        <v>25</v>
      </c>
      <c r="B66" s="1" t="s">
        <v>97</v>
      </c>
      <c r="C66" s="1" t="s">
        <v>56</v>
      </c>
      <c r="D66" s="1" t="s">
        <v>23</v>
      </c>
      <c r="E66" s="1" t="s">
        <v>24</v>
      </c>
      <c r="F66" s="2">
        <v>41560</v>
      </c>
      <c r="G66" s="1">
        <v>505716836</v>
      </c>
      <c r="H66" s="2">
        <v>41594</v>
      </c>
      <c r="I66" s="1">
        <v>1705</v>
      </c>
      <c r="J66" s="1">
        <v>437.2</v>
      </c>
      <c r="K66" s="1">
        <v>263.33</v>
      </c>
      <c r="L66" s="1">
        <v>745426</v>
      </c>
      <c r="M66" s="1">
        <v>448977.65</v>
      </c>
      <c r="N66" s="1">
        <v>296448.34999999998</v>
      </c>
      <c r="O66" s="4" t="str">
        <f t="shared" si="0"/>
        <v>2013-10</v>
      </c>
      <c r="P66" s="3">
        <f t="shared" si="1"/>
        <v>2013</v>
      </c>
      <c r="Q66" s="1" t="s">
        <v>56</v>
      </c>
      <c r="R66" s="3">
        <f t="shared" si="2"/>
        <v>14290830.699999999</v>
      </c>
      <c r="S66" s="1">
        <f t="shared" si="3"/>
        <v>1486978.3552777776</v>
      </c>
      <c r="T66" s="1">
        <f t="shared" si="4"/>
        <v>12</v>
      </c>
    </row>
    <row r="67" spans="1:20" x14ac:dyDescent="0.25">
      <c r="A67" s="1" t="s">
        <v>34</v>
      </c>
      <c r="B67" s="1" t="s">
        <v>37</v>
      </c>
      <c r="C67" s="1" t="s">
        <v>56</v>
      </c>
      <c r="D67" s="1" t="s">
        <v>23</v>
      </c>
      <c r="E67" s="1" t="s">
        <v>24</v>
      </c>
      <c r="F67" s="2">
        <v>41558</v>
      </c>
      <c r="G67" s="1">
        <v>699358165</v>
      </c>
      <c r="H67" s="2">
        <v>41603</v>
      </c>
      <c r="I67" s="1">
        <v>4477</v>
      </c>
      <c r="J67" s="1">
        <v>437.2</v>
      </c>
      <c r="K67" s="1">
        <v>263.33</v>
      </c>
      <c r="L67" s="1">
        <v>1957344.4</v>
      </c>
      <c r="M67" s="1">
        <v>1178928.4099999999</v>
      </c>
      <c r="N67" s="1">
        <v>778415.99</v>
      </c>
      <c r="O67" s="4" t="str">
        <f t="shared" si="0"/>
        <v>2013-10</v>
      </c>
      <c r="P67" s="3">
        <f t="shared" si="1"/>
        <v>2013</v>
      </c>
      <c r="Q67" s="1" t="s">
        <v>56</v>
      </c>
      <c r="R67" s="3">
        <f t="shared" si="2"/>
        <v>14290830.699999999</v>
      </c>
      <c r="S67" s="1">
        <f t="shared" si="3"/>
        <v>1508165.5654285711</v>
      </c>
      <c r="T67" s="1">
        <f t="shared" si="4"/>
        <v>12</v>
      </c>
    </row>
    <row r="68" spans="1:20" x14ac:dyDescent="0.25">
      <c r="A68" s="1" t="s">
        <v>34</v>
      </c>
      <c r="B68" s="1" t="s">
        <v>98</v>
      </c>
      <c r="C68" s="1" t="s">
        <v>45</v>
      </c>
      <c r="D68" s="1" t="s">
        <v>23</v>
      </c>
      <c r="E68" s="1" t="s">
        <v>33</v>
      </c>
      <c r="F68" s="2">
        <v>41098</v>
      </c>
      <c r="G68" s="1">
        <v>228944623</v>
      </c>
      <c r="H68" s="2">
        <v>41099</v>
      </c>
      <c r="I68" s="1">
        <v>8656</v>
      </c>
      <c r="J68" s="1">
        <v>81.73</v>
      </c>
      <c r="K68" s="1">
        <v>56.67</v>
      </c>
      <c r="L68" s="1">
        <v>707454.88</v>
      </c>
      <c r="M68" s="1">
        <v>490535.52</v>
      </c>
      <c r="N68" s="1">
        <v>216919.36</v>
      </c>
      <c r="O68" s="4" t="str">
        <f t="shared" si="0"/>
        <v>2012-07</v>
      </c>
      <c r="P68" s="3">
        <f t="shared" si="1"/>
        <v>2012</v>
      </c>
      <c r="Q68" s="1" t="s">
        <v>45</v>
      </c>
      <c r="R68" s="3">
        <f t="shared" si="2"/>
        <v>14290830.699999999</v>
      </c>
      <c r="S68" s="1">
        <f t="shared" si="3"/>
        <v>1494954.4232352937</v>
      </c>
      <c r="T68" s="1">
        <f t="shared" si="4"/>
        <v>11</v>
      </c>
    </row>
    <row r="69" spans="1:20" x14ac:dyDescent="0.25">
      <c r="A69" s="1" t="s">
        <v>25</v>
      </c>
      <c r="B69" s="1" t="s">
        <v>99</v>
      </c>
      <c r="C69" s="1" t="s">
        <v>50</v>
      </c>
      <c r="D69" s="1" t="s">
        <v>23</v>
      </c>
      <c r="E69" s="1" t="s">
        <v>41</v>
      </c>
      <c r="F69" s="2">
        <v>42576</v>
      </c>
      <c r="G69" s="1">
        <v>807025039</v>
      </c>
      <c r="H69" s="2">
        <v>42620</v>
      </c>
      <c r="I69" s="1">
        <v>5498</v>
      </c>
      <c r="J69" s="1">
        <v>109.28</v>
      </c>
      <c r="K69" s="1">
        <v>35.840000000000003</v>
      </c>
      <c r="L69" s="1">
        <v>600821.43999999994</v>
      </c>
      <c r="M69" s="1">
        <v>197048.32000000001</v>
      </c>
      <c r="N69" s="1">
        <v>403773.12</v>
      </c>
      <c r="O69" s="4" t="str">
        <f t="shared" si="0"/>
        <v>2016-07</v>
      </c>
      <c r="P69" s="3">
        <f t="shared" si="1"/>
        <v>2016</v>
      </c>
      <c r="Q69" s="1" t="s">
        <v>50</v>
      </c>
      <c r="R69" s="3">
        <f t="shared" si="2"/>
        <v>14290830.699999999</v>
      </c>
      <c r="S69" s="1">
        <f t="shared" si="3"/>
        <v>1518818.0457575754</v>
      </c>
      <c r="T69" s="1">
        <f t="shared" si="4"/>
        <v>11</v>
      </c>
    </row>
    <row r="70" spans="1:20" x14ac:dyDescent="0.25">
      <c r="A70" s="1" t="s">
        <v>30</v>
      </c>
      <c r="B70" s="1" t="s">
        <v>100</v>
      </c>
      <c r="C70" s="1" t="s">
        <v>32</v>
      </c>
      <c r="D70" s="1" t="s">
        <v>23</v>
      </c>
      <c r="E70" s="1" t="s">
        <v>24</v>
      </c>
      <c r="F70" s="2">
        <v>40475</v>
      </c>
      <c r="G70" s="1">
        <v>166460740</v>
      </c>
      <c r="H70" s="2">
        <v>40499</v>
      </c>
      <c r="I70" s="1">
        <v>8287</v>
      </c>
      <c r="J70" s="1">
        <v>651.21</v>
      </c>
      <c r="K70" s="1">
        <v>524.96</v>
      </c>
      <c r="L70" s="1">
        <v>5396577.2699999996</v>
      </c>
      <c r="M70" s="1">
        <v>4350343.5199999996</v>
      </c>
      <c r="N70" s="1">
        <v>1046233.75</v>
      </c>
      <c r="O70" s="4" t="str">
        <f t="shared" si="0"/>
        <v>2010-10</v>
      </c>
      <c r="P70" s="3">
        <f t="shared" si="1"/>
        <v>2010</v>
      </c>
      <c r="Q70" s="1" t="s">
        <v>32</v>
      </c>
      <c r="R70" s="3">
        <f t="shared" si="2"/>
        <v>14290830.699999999</v>
      </c>
      <c r="S70" s="1">
        <f t="shared" si="3"/>
        <v>1547505.4396874998</v>
      </c>
      <c r="T70" s="1">
        <f t="shared" si="4"/>
        <v>11</v>
      </c>
    </row>
    <row r="71" spans="1:20" x14ac:dyDescent="0.25">
      <c r="A71" s="1" t="s">
        <v>34</v>
      </c>
      <c r="B71" s="1" t="s">
        <v>101</v>
      </c>
      <c r="C71" s="1" t="s">
        <v>50</v>
      </c>
      <c r="D71" s="1" t="s">
        <v>23</v>
      </c>
      <c r="E71" s="1" t="s">
        <v>33</v>
      </c>
      <c r="F71" s="2">
        <v>42119</v>
      </c>
      <c r="G71" s="1">
        <v>610425555</v>
      </c>
      <c r="H71" s="2">
        <v>42152</v>
      </c>
      <c r="I71" s="1">
        <v>7342</v>
      </c>
      <c r="J71" s="1">
        <v>109.28</v>
      </c>
      <c r="K71" s="1">
        <v>35.840000000000003</v>
      </c>
      <c r="L71" s="1">
        <v>802333.76</v>
      </c>
      <c r="M71" s="1">
        <v>263137.28000000003</v>
      </c>
      <c r="N71" s="1">
        <v>539196.48</v>
      </c>
      <c r="O71" s="4" t="str">
        <f t="shared" si="0"/>
        <v>2015-04</v>
      </c>
      <c r="P71" s="3">
        <f t="shared" si="1"/>
        <v>2015</v>
      </c>
      <c r="Q71" s="1" t="s">
        <v>50</v>
      </c>
      <c r="R71" s="3">
        <f t="shared" si="2"/>
        <v>8894253.4299999997</v>
      </c>
      <c r="S71" s="1">
        <f t="shared" si="3"/>
        <v>1423341.8322580645</v>
      </c>
      <c r="T71" s="1">
        <f t="shared" si="4"/>
        <v>10</v>
      </c>
    </row>
    <row r="72" spans="1:20" x14ac:dyDescent="0.25">
      <c r="A72" s="1" t="s">
        <v>47</v>
      </c>
      <c r="B72" s="1" t="s">
        <v>59</v>
      </c>
      <c r="C72" s="1" t="s">
        <v>32</v>
      </c>
      <c r="D72" s="1" t="s">
        <v>28</v>
      </c>
      <c r="E72" s="1" t="s">
        <v>41</v>
      </c>
      <c r="F72" s="2">
        <v>41387</v>
      </c>
      <c r="G72" s="1">
        <v>462405812</v>
      </c>
      <c r="H72" s="2">
        <v>41414</v>
      </c>
      <c r="I72" s="1">
        <v>5010</v>
      </c>
      <c r="J72" s="1">
        <v>651.21</v>
      </c>
      <c r="K72" s="1">
        <v>524.96</v>
      </c>
      <c r="L72" s="1">
        <v>3262562.1</v>
      </c>
      <c r="M72" s="1">
        <v>2630049.6</v>
      </c>
      <c r="N72" s="1">
        <v>632512.5</v>
      </c>
      <c r="O72" s="4" t="str">
        <f t="shared" si="0"/>
        <v>2013-04</v>
      </c>
      <c r="P72" s="3">
        <f t="shared" si="1"/>
        <v>2013</v>
      </c>
      <c r="Q72" s="1" t="s">
        <v>32</v>
      </c>
      <c r="R72" s="3">
        <f t="shared" si="2"/>
        <v>8894253.4299999997</v>
      </c>
      <c r="S72" s="1">
        <f t="shared" si="3"/>
        <v>1444042.1013333336</v>
      </c>
      <c r="T72" s="1">
        <f t="shared" si="4"/>
        <v>10</v>
      </c>
    </row>
    <row r="73" spans="1:20" x14ac:dyDescent="0.25">
      <c r="A73" s="1" t="s">
        <v>77</v>
      </c>
      <c r="B73" s="1" t="s">
        <v>96</v>
      </c>
      <c r="C73" s="1" t="s">
        <v>36</v>
      </c>
      <c r="D73" s="1" t="s">
        <v>28</v>
      </c>
      <c r="E73" s="1" t="s">
        <v>33</v>
      </c>
      <c r="F73" s="2">
        <v>42230</v>
      </c>
      <c r="G73" s="1">
        <v>816200339</v>
      </c>
      <c r="H73" s="2">
        <v>42277</v>
      </c>
      <c r="I73" s="1">
        <v>673</v>
      </c>
      <c r="J73" s="1">
        <v>9.33</v>
      </c>
      <c r="K73" s="1">
        <v>6.92</v>
      </c>
      <c r="L73" s="1">
        <v>6279.09</v>
      </c>
      <c r="M73" s="1">
        <v>4657.16</v>
      </c>
      <c r="N73" s="1">
        <v>1621.93</v>
      </c>
      <c r="O73" s="4" t="str">
        <f t="shared" si="0"/>
        <v>2015-08</v>
      </c>
      <c r="P73" s="3">
        <f t="shared" si="1"/>
        <v>2015</v>
      </c>
      <c r="Q73" s="1" t="s">
        <v>36</v>
      </c>
      <c r="R73" s="3">
        <f t="shared" si="2"/>
        <v>8894253.4299999997</v>
      </c>
      <c r="S73" s="1">
        <f t="shared" si="3"/>
        <v>1381334.5151724138</v>
      </c>
      <c r="T73" s="1">
        <f t="shared" si="4"/>
        <v>9</v>
      </c>
    </row>
    <row r="74" spans="1:20" x14ac:dyDescent="0.25">
      <c r="A74" s="1" t="s">
        <v>34</v>
      </c>
      <c r="B74" s="1" t="s">
        <v>102</v>
      </c>
      <c r="C74" s="1" t="s">
        <v>58</v>
      </c>
      <c r="D74" s="1" t="s">
        <v>28</v>
      </c>
      <c r="E74" s="1" t="s">
        <v>29</v>
      </c>
      <c r="F74" s="2">
        <v>40689</v>
      </c>
      <c r="G74" s="1">
        <v>585920464</v>
      </c>
      <c r="H74" s="2">
        <v>40739</v>
      </c>
      <c r="I74" s="1">
        <v>5741</v>
      </c>
      <c r="J74" s="1">
        <v>47.45</v>
      </c>
      <c r="K74" s="1">
        <v>31.79</v>
      </c>
      <c r="L74" s="1">
        <v>272410.45</v>
      </c>
      <c r="M74" s="1">
        <v>182506.39</v>
      </c>
      <c r="N74" s="1">
        <v>89904.06</v>
      </c>
      <c r="O74" s="4" t="str">
        <f t="shared" si="0"/>
        <v>2011-05</v>
      </c>
      <c r="P74" s="3">
        <f t="shared" si="1"/>
        <v>2011</v>
      </c>
      <c r="Q74" s="1" t="s">
        <v>58</v>
      </c>
      <c r="R74" s="3">
        <f t="shared" si="2"/>
        <v>8894253.4299999997</v>
      </c>
      <c r="S74" s="1">
        <f t="shared" si="3"/>
        <v>1430443.6374999997</v>
      </c>
      <c r="T74" s="1">
        <f t="shared" si="4"/>
        <v>9</v>
      </c>
    </row>
    <row r="75" spans="1:20" x14ac:dyDescent="0.25">
      <c r="A75" s="1" t="s">
        <v>34</v>
      </c>
      <c r="B75" s="1" t="s">
        <v>75</v>
      </c>
      <c r="C75" s="1" t="s">
        <v>27</v>
      </c>
      <c r="D75" s="1" t="s">
        <v>28</v>
      </c>
      <c r="E75" s="1" t="s">
        <v>24</v>
      </c>
      <c r="F75" s="2">
        <v>42875</v>
      </c>
      <c r="G75" s="1">
        <v>555990016</v>
      </c>
      <c r="H75" s="2">
        <v>42903</v>
      </c>
      <c r="I75" s="1">
        <v>8656</v>
      </c>
      <c r="J75" s="1">
        <v>205.7</v>
      </c>
      <c r="K75" s="1">
        <v>117.11</v>
      </c>
      <c r="L75" s="1">
        <v>1780539.2</v>
      </c>
      <c r="M75" s="1">
        <v>1013704.16</v>
      </c>
      <c r="N75" s="1">
        <v>766835.04</v>
      </c>
      <c r="O75" s="4" t="str">
        <f t="shared" si="0"/>
        <v>2017-05</v>
      </c>
      <c r="P75" s="3">
        <f t="shared" si="1"/>
        <v>2017</v>
      </c>
      <c r="Q75" s="1" t="s">
        <v>27</v>
      </c>
      <c r="R75" s="3">
        <f t="shared" si="2"/>
        <v>8894253.4299999997</v>
      </c>
      <c r="S75" s="1">
        <f t="shared" si="3"/>
        <v>1473333.7555555557</v>
      </c>
      <c r="T75" s="1">
        <f t="shared" si="4"/>
        <v>9</v>
      </c>
    </row>
    <row r="76" spans="1:20" x14ac:dyDescent="0.25">
      <c r="A76" s="1" t="s">
        <v>77</v>
      </c>
      <c r="B76" s="1" t="s">
        <v>103</v>
      </c>
      <c r="C76" s="1" t="s">
        <v>56</v>
      </c>
      <c r="D76" s="1" t="s">
        <v>23</v>
      </c>
      <c r="E76" s="1" t="s">
        <v>33</v>
      </c>
      <c r="F76" s="2">
        <v>41460</v>
      </c>
      <c r="G76" s="1">
        <v>231145322</v>
      </c>
      <c r="H76" s="2">
        <v>41502</v>
      </c>
      <c r="I76" s="1">
        <v>9892</v>
      </c>
      <c r="J76" s="1">
        <v>437.2</v>
      </c>
      <c r="K76" s="1">
        <v>263.33</v>
      </c>
      <c r="L76" s="1">
        <v>4324782.4000000004</v>
      </c>
      <c r="M76" s="1">
        <v>2604860.36</v>
      </c>
      <c r="N76" s="1">
        <v>1719922.04</v>
      </c>
      <c r="O76" s="4" t="str">
        <f t="shared" si="0"/>
        <v>2013-07</v>
      </c>
      <c r="P76" s="3">
        <f t="shared" si="1"/>
        <v>2013</v>
      </c>
      <c r="Q76" s="1" t="s">
        <v>56</v>
      </c>
      <c r="R76" s="3">
        <f t="shared" si="2"/>
        <v>8894253.4299999997</v>
      </c>
      <c r="S76" s="1">
        <f t="shared" si="3"/>
        <v>1461518.1615384617</v>
      </c>
      <c r="T76" s="1">
        <f t="shared" si="4"/>
        <v>8</v>
      </c>
    </row>
    <row r="77" spans="1:20" x14ac:dyDescent="0.25">
      <c r="A77" s="1" t="s">
        <v>104</v>
      </c>
      <c r="B77" s="1" t="s">
        <v>105</v>
      </c>
      <c r="C77" s="1" t="s">
        <v>40</v>
      </c>
      <c r="D77" s="1" t="s">
        <v>23</v>
      </c>
      <c r="E77" s="1" t="s">
        <v>29</v>
      </c>
      <c r="F77" s="2">
        <v>41949</v>
      </c>
      <c r="G77" s="1">
        <v>986435210</v>
      </c>
      <c r="H77" s="2">
        <v>41985</v>
      </c>
      <c r="I77" s="1">
        <v>6954</v>
      </c>
      <c r="J77" s="1">
        <v>668.27</v>
      </c>
      <c r="K77" s="1">
        <v>502.54</v>
      </c>
      <c r="L77" s="1">
        <v>4647149.58</v>
      </c>
      <c r="M77" s="1">
        <v>3494663.16</v>
      </c>
      <c r="N77" s="1">
        <v>1152486.42</v>
      </c>
      <c r="O77" s="4" t="str">
        <f t="shared" si="0"/>
        <v>2014-11</v>
      </c>
      <c r="P77" s="3">
        <f t="shared" si="1"/>
        <v>2014</v>
      </c>
      <c r="Q77" s="1" t="s">
        <v>40</v>
      </c>
      <c r="R77" s="3">
        <f t="shared" si="2"/>
        <v>8894253.4299999997</v>
      </c>
      <c r="S77" s="1">
        <f t="shared" si="3"/>
        <v>1346987.5919999999</v>
      </c>
      <c r="T77" s="1">
        <f t="shared" si="4"/>
        <v>7</v>
      </c>
    </row>
    <row r="78" spans="1:20" x14ac:dyDescent="0.25">
      <c r="A78" s="1" t="s">
        <v>20</v>
      </c>
      <c r="B78" s="1" t="s">
        <v>106</v>
      </c>
      <c r="C78" s="1" t="s">
        <v>58</v>
      </c>
      <c r="D78" s="1" t="s">
        <v>28</v>
      </c>
      <c r="E78" s="1" t="s">
        <v>29</v>
      </c>
      <c r="F78" s="2">
        <v>41940</v>
      </c>
      <c r="G78" s="1">
        <v>217221009</v>
      </c>
      <c r="H78" s="2">
        <v>41958</v>
      </c>
      <c r="I78" s="1">
        <v>9379</v>
      </c>
      <c r="J78" s="1">
        <v>47.45</v>
      </c>
      <c r="K78" s="1">
        <v>31.79</v>
      </c>
      <c r="L78" s="1">
        <v>445033.55</v>
      </c>
      <c r="M78" s="1">
        <v>298158.40999999997</v>
      </c>
      <c r="N78" s="1">
        <v>146875.14000000001</v>
      </c>
      <c r="O78" s="4" t="str">
        <f t="shared" si="0"/>
        <v>2014-10</v>
      </c>
      <c r="P78" s="3">
        <f t="shared" si="1"/>
        <v>2014</v>
      </c>
      <c r="Q78" s="1" t="s">
        <v>58</v>
      </c>
      <c r="R78" s="3">
        <f t="shared" si="2"/>
        <v>8894253.4299999997</v>
      </c>
      <c r="S78" s="1">
        <f t="shared" si="3"/>
        <v>1209480.8425</v>
      </c>
      <c r="T78" s="1">
        <f t="shared" si="4"/>
        <v>6</v>
      </c>
    </row>
    <row r="79" spans="1:20" x14ac:dyDescent="0.25">
      <c r="A79" s="1" t="s">
        <v>47</v>
      </c>
      <c r="B79" s="1" t="s">
        <v>107</v>
      </c>
      <c r="C79" s="1" t="s">
        <v>43</v>
      </c>
      <c r="D79" s="1" t="s">
        <v>23</v>
      </c>
      <c r="E79" s="1" t="s">
        <v>29</v>
      </c>
      <c r="F79" s="2">
        <v>40801</v>
      </c>
      <c r="G79" s="1">
        <v>789176547</v>
      </c>
      <c r="H79" s="2">
        <v>40839</v>
      </c>
      <c r="I79" s="1">
        <v>3732</v>
      </c>
      <c r="J79" s="1">
        <v>154.06</v>
      </c>
      <c r="K79" s="1">
        <v>90.93</v>
      </c>
      <c r="L79" s="1">
        <v>574951.92000000004</v>
      </c>
      <c r="M79" s="1">
        <v>339350.76</v>
      </c>
      <c r="N79" s="1">
        <v>235601.16</v>
      </c>
      <c r="O79" s="4" t="str">
        <f t="shared" si="0"/>
        <v>2011-09</v>
      </c>
      <c r="P79" s="3">
        <f t="shared" si="1"/>
        <v>2011</v>
      </c>
      <c r="Q79" s="1" t="s">
        <v>43</v>
      </c>
      <c r="R79" s="3">
        <f t="shared" si="2"/>
        <v>8894253.4299999997</v>
      </c>
      <c r="S79" s="1">
        <f t="shared" si="3"/>
        <v>1242717.6813043479</v>
      </c>
      <c r="T79" s="1">
        <f t="shared" si="4"/>
        <v>6</v>
      </c>
    </row>
    <row r="80" spans="1:20" x14ac:dyDescent="0.25">
      <c r="A80" s="1" t="s">
        <v>30</v>
      </c>
      <c r="B80" s="1" t="s">
        <v>108</v>
      </c>
      <c r="C80" s="1" t="s">
        <v>22</v>
      </c>
      <c r="D80" s="1" t="s">
        <v>23</v>
      </c>
      <c r="E80" s="1" t="s">
        <v>24</v>
      </c>
      <c r="F80" s="2">
        <v>41058</v>
      </c>
      <c r="G80" s="1">
        <v>688288152</v>
      </c>
      <c r="H80" s="2">
        <v>41062</v>
      </c>
      <c r="I80" s="1">
        <v>8614</v>
      </c>
      <c r="J80" s="1">
        <v>255.28</v>
      </c>
      <c r="K80" s="1">
        <v>159.41999999999999</v>
      </c>
      <c r="L80" s="1">
        <v>2198981.92</v>
      </c>
      <c r="M80" s="1">
        <v>1373243.88</v>
      </c>
      <c r="N80" s="1">
        <v>825738.04</v>
      </c>
      <c r="O80" s="4" t="str">
        <f t="shared" si="0"/>
        <v>2012-05</v>
      </c>
      <c r="P80" s="3">
        <f t="shared" si="1"/>
        <v>2012</v>
      </c>
      <c r="Q80" s="1" t="s">
        <v>22</v>
      </c>
      <c r="R80" s="3">
        <f t="shared" si="2"/>
        <v>8894253.4299999997</v>
      </c>
      <c r="S80" s="1">
        <f t="shared" si="3"/>
        <v>1273070.6704545456</v>
      </c>
      <c r="T80" s="1">
        <f t="shared" si="4"/>
        <v>6</v>
      </c>
    </row>
    <row r="81" spans="1:20" x14ac:dyDescent="0.25">
      <c r="A81" s="1" t="s">
        <v>20</v>
      </c>
      <c r="B81" s="1" t="s">
        <v>109</v>
      </c>
      <c r="C81" s="1" t="s">
        <v>56</v>
      </c>
      <c r="D81" s="1" t="s">
        <v>28</v>
      </c>
      <c r="E81" s="1" t="s">
        <v>24</v>
      </c>
      <c r="F81" s="2">
        <v>41475</v>
      </c>
      <c r="G81" s="1">
        <v>670854651</v>
      </c>
      <c r="H81" s="2">
        <v>41493</v>
      </c>
      <c r="I81" s="1">
        <v>9654</v>
      </c>
      <c r="J81" s="1">
        <v>437.2</v>
      </c>
      <c r="K81" s="1">
        <v>263.33</v>
      </c>
      <c r="L81" s="1">
        <v>4220728.8</v>
      </c>
      <c r="M81" s="1">
        <v>2542187.8199999998</v>
      </c>
      <c r="N81" s="1">
        <v>1678540.98</v>
      </c>
      <c r="O81" s="4" t="str">
        <f t="shared" si="0"/>
        <v>2013-07</v>
      </c>
      <c r="P81" s="3">
        <f t="shared" si="1"/>
        <v>2013</v>
      </c>
      <c r="Q81" s="1" t="s">
        <v>56</v>
      </c>
      <c r="R81" s="3">
        <f t="shared" si="2"/>
        <v>6695271.5099999998</v>
      </c>
      <c r="S81" s="1">
        <f t="shared" si="3"/>
        <v>1228979.6585714286</v>
      </c>
      <c r="T81" s="1">
        <f t="shared" si="4"/>
        <v>5</v>
      </c>
    </row>
    <row r="82" spans="1:20" x14ac:dyDescent="0.25">
      <c r="A82" s="1" t="s">
        <v>30</v>
      </c>
      <c r="B82" s="1" t="s">
        <v>110</v>
      </c>
      <c r="C82" s="1" t="s">
        <v>40</v>
      </c>
      <c r="D82" s="1" t="s">
        <v>23</v>
      </c>
      <c r="E82" s="1" t="s">
        <v>33</v>
      </c>
      <c r="F82" s="2">
        <v>41203</v>
      </c>
      <c r="G82" s="1">
        <v>213487374</v>
      </c>
      <c r="H82" s="2">
        <v>41243</v>
      </c>
      <c r="I82" s="1">
        <v>4513</v>
      </c>
      <c r="J82" s="1">
        <v>668.27</v>
      </c>
      <c r="K82" s="1">
        <v>502.54</v>
      </c>
      <c r="L82" s="1">
        <v>3015902.51</v>
      </c>
      <c r="M82" s="1">
        <v>2267963.02</v>
      </c>
      <c r="N82" s="1">
        <v>747939.49</v>
      </c>
      <c r="O82" s="4" t="str">
        <f t="shared" si="0"/>
        <v>2012-10</v>
      </c>
      <c r="P82" s="3">
        <f t="shared" si="1"/>
        <v>2012</v>
      </c>
      <c r="Q82" s="1" t="s">
        <v>40</v>
      </c>
      <c r="R82" s="3">
        <f t="shared" si="2"/>
        <v>6695271.5099999998</v>
      </c>
      <c r="S82" s="1">
        <f t="shared" si="3"/>
        <v>1079392.2015</v>
      </c>
      <c r="T82" s="1">
        <f t="shared" si="4"/>
        <v>4</v>
      </c>
    </row>
    <row r="83" spans="1:20" x14ac:dyDescent="0.25">
      <c r="A83" s="1" t="s">
        <v>77</v>
      </c>
      <c r="B83" s="1" t="s">
        <v>111</v>
      </c>
      <c r="C83" s="1" t="s">
        <v>50</v>
      </c>
      <c r="D83" s="1" t="s">
        <v>28</v>
      </c>
      <c r="E83" s="1" t="s">
        <v>33</v>
      </c>
      <c r="F83" s="2">
        <v>41170</v>
      </c>
      <c r="G83" s="1">
        <v>663110148</v>
      </c>
      <c r="H83" s="2">
        <v>41190</v>
      </c>
      <c r="I83" s="1">
        <v>7884</v>
      </c>
      <c r="J83" s="1">
        <v>109.28</v>
      </c>
      <c r="K83" s="1">
        <v>35.840000000000003</v>
      </c>
      <c r="L83" s="1">
        <v>861563.52</v>
      </c>
      <c r="M83" s="1">
        <v>282562.56</v>
      </c>
      <c r="N83" s="1">
        <v>579000.96</v>
      </c>
      <c r="O83" s="4" t="str">
        <f t="shared" si="0"/>
        <v>2012-09</v>
      </c>
      <c r="P83" s="3">
        <f t="shared" si="1"/>
        <v>2012</v>
      </c>
      <c r="Q83" s="1" t="s">
        <v>50</v>
      </c>
      <c r="R83" s="3">
        <f t="shared" si="2"/>
        <v>3679369</v>
      </c>
      <c r="S83" s="1">
        <f t="shared" si="3"/>
        <v>977470.6063157894</v>
      </c>
      <c r="T83" s="1">
        <f t="shared" si="4"/>
        <v>3</v>
      </c>
    </row>
    <row r="84" spans="1:20" x14ac:dyDescent="0.25">
      <c r="A84" s="1" t="s">
        <v>77</v>
      </c>
      <c r="B84" s="1" t="s">
        <v>112</v>
      </c>
      <c r="C84" s="1" t="s">
        <v>56</v>
      </c>
      <c r="D84" s="1" t="s">
        <v>28</v>
      </c>
      <c r="E84" s="1" t="s">
        <v>24</v>
      </c>
      <c r="F84" s="2">
        <v>42689</v>
      </c>
      <c r="G84" s="1">
        <v>286959302</v>
      </c>
      <c r="H84" s="2">
        <v>42712</v>
      </c>
      <c r="I84" s="1">
        <v>6489</v>
      </c>
      <c r="J84" s="1">
        <v>437.2</v>
      </c>
      <c r="K84" s="1">
        <v>263.33</v>
      </c>
      <c r="L84" s="1">
        <v>2836990.8</v>
      </c>
      <c r="M84" s="1">
        <v>1708748.37</v>
      </c>
      <c r="N84" s="1">
        <v>1128242.43</v>
      </c>
      <c r="O84" s="4" t="str">
        <f t="shared" si="0"/>
        <v>2016-11</v>
      </c>
      <c r="P84" s="3">
        <f t="shared" si="1"/>
        <v>2016</v>
      </c>
      <c r="Q84" s="1" t="s">
        <v>56</v>
      </c>
      <c r="R84" s="3">
        <f t="shared" si="2"/>
        <v>3679369</v>
      </c>
      <c r="S84" s="1">
        <f t="shared" si="3"/>
        <v>983909.88888888888</v>
      </c>
      <c r="T84" s="1">
        <f t="shared" si="4"/>
        <v>3</v>
      </c>
    </row>
    <row r="85" spans="1:20" x14ac:dyDescent="0.25">
      <c r="A85" s="1" t="s">
        <v>34</v>
      </c>
      <c r="B85" s="1" t="s">
        <v>113</v>
      </c>
      <c r="C85" s="1" t="s">
        <v>64</v>
      </c>
      <c r="D85" s="1" t="s">
        <v>28</v>
      </c>
      <c r="E85" s="1" t="s">
        <v>33</v>
      </c>
      <c r="F85" s="2">
        <v>40547</v>
      </c>
      <c r="G85" s="1">
        <v>122583663</v>
      </c>
      <c r="H85" s="2">
        <v>40548</v>
      </c>
      <c r="I85" s="1">
        <v>4085</v>
      </c>
      <c r="J85" s="1">
        <v>152.58000000000001</v>
      </c>
      <c r="K85" s="1">
        <v>97.44</v>
      </c>
      <c r="L85" s="1">
        <v>623289.30000000005</v>
      </c>
      <c r="M85" s="1">
        <v>398042.4</v>
      </c>
      <c r="N85" s="1">
        <v>225246.9</v>
      </c>
      <c r="O85" s="4" t="str">
        <f t="shared" si="0"/>
        <v>2011-01</v>
      </c>
      <c r="P85" s="3">
        <f t="shared" si="1"/>
        <v>2011</v>
      </c>
      <c r="Q85" s="1" t="s">
        <v>64</v>
      </c>
      <c r="R85" s="3">
        <f t="shared" si="2"/>
        <v>3679369</v>
      </c>
      <c r="S85" s="1">
        <f t="shared" si="3"/>
        <v>874905.12941176456</v>
      </c>
      <c r="T85" s="1">
        <f t="shared" si="4"/>
        <v>2</v>
      </c>
    </row>
    <row r="86" spans="1:20" x14ac:dyDescent="0.25">
      <c r="A86" s="1" t="s">
        <v>34</v>
      </c>
      <c r="B86" s="1" t="s">
        <v>114</v>
      </c>
      <c r="C86" s="1" t="s">
        <v>43</v>
      </c>
      <c r="D86" s="1" t="s">
        <v>28</v>
      </c>
      <c r="E86" s="1" t="s">
        <v>33</v>
      </c>
      <c r="F86" s="2">
        <v>40986</v>
      </c>
      <c r="G86" s="1">
        <v>827844560</v>
      </c>
      <c r="H86" s="2">
        <v>41006</v>
      </c>
      <c r="I86" s="1">
        <v>6457</v>
      </c>
      <c r="J86" s="1">
        <v>154.06</v>
      </c>
      <c r="K86" s="1">
        <v>90.93</v>
      </c>
      <c r="L86" s="1">
        <v>994765.42</v>
      </c>
      <c r="M86" s="1">
        <v>587135.01</v>
      </c>
      <c r="N86" s="1">
        <v>407630.41</v>
      </c>
      <c r="O86" s="4" t="str">
        <f t="shared" si="0"/>
        <v>2012-03</v>
      </c>
      <c r="P86" s="3">
        <f t="shared" si="1"/>
        <v>2012</v>
      </c>
      <c r="Q86" s="1" t="s">
        <v>43</v>
      </c>
      <c r="R86" s="3">
        <f t="shared" si="2"/>
        <v>3679369</v>
      </c>
      <c r="S86" s="1">
        <f t="shared" si="3"/>
        <v>890631.11874999991</v>
      </c>
      <c r="T86" s="1">
        <f t="shared" si="4"/>
        <v>2</v>
      </c>
    </row>
    <row r="87" spans="1:20" x14ac:dyDescent="0.25">
      <c r="A87" s="1" t="s">
        <v>104</v>
      </c>
      <c r="B87" s="1" t="s">
        <v>105</v>
      </c>
      <c r="C87" s="1" t="s">
        <v>45</v>
      </c>
      <c r="D87" s="1" t="s">
        <v>23</v>
      </c>
      <c r="E87" s="1" t="s">
        <v>33</v>
      </c>
      <c r="F87" s="2">
        <v>40956</v>
      </c>
      <c r="G87" s="1">
        <v>430915820</v>
      </c>
      <c r="H87" s="2">
        <v>40988</v>
      </c>
      <c r="I87" s="1">
        <v>6422</v>
      </c>
      <c r="J87" s="1">
        <v>81.73</v>
      </c>
      <c r="K87" s="1">
        <v>56.67</v>
      </c>
      <c r="L87" s="1">
        <v>524870.06000000006</v>
      </c>
      <c r="M87" s="1">
        <v>363934.74</v>
      </c>
      <c r="N87" s="1">
        <v>160935.32</v>
      </c>
      <c r="O87" s="4" t="str">
        <f t="shared" si="0"/>
        <v>2012-02</v>
      </c>
      <c r="P87" s="3">
        <f t="shared" si="1"/>
        <v>2012</v>
      </c>
      <c r="Q87" s="1" t="s">
        <v>45</v>
      </c>
      <c r="R87" s="3">
        <f t="shared" si="2"/>
        <v>3679369</v>
      </c>
      <c r="S87" s="1">
        <f t="shared" si="3"/>
        <v>883688.83199999994</v>
      </c>
      <c r="T87" s="1">
        <f t="shared" si="4"/>
        <v>2</v>
      </c>
    </row>
    <row r="88" spans="1:20" x14ac:dyDescent="0.25">
      <c r="A88" s="1" t="s">
        <v>34</v>
      </c>
      <c r="B88" s="1" t="s">
        <v>35</v>
      </c>
      <c r="C88" s="1" t="s">
        <v>58</v>
      </c>
      <c r="D88" s="1" t="s">
        <v>23</v>
      </c>
      <c r="E88" s="1" t="s">
        <v>29</v>
      </c>
      <c r="F88" s="2">
        <v>40559</v>
      </c>
      <c r="G88" s="1">
        <v>180283772</v>
      </c>
      <c r="H88" s="2">
        <v>40564</v>
      </c>
      <c r="I88" s="1">
        <v>8829</v>
      </c>
      <c r="J88" s="1">
        <v>47.45</v>
      </c>
      <c r="K88" s="1">
        <v>31.79</v>
      </c>
      <c r="L88" s="1">
        <v>418936.05</v>
      </c>
      <c r="M88" s="1">
        <v>280673.90999999997</v>
      </c>
      <c r="N88" s="1">
        <v>138262.14000000001</v>
      </c>
      <c r="O88" s="4" t="str">
        <f t="shared" si="0"/>
        <v>2011-01</v>
      </c>
      <c r="P88" s="3">
        <f t="shared" si="1"/>
        <v>2011</v>
      </c>
      <c r="Q88" s="1" t="s">
        <v>58</v>
      </c>
      <c r="R88" s="3">
        <f t="shared" si="2"/>
        <v>3679369</v>
      </c>
      <c r="S88" s="1">
        <f t="shared" si="3"/>
        <v>909318.74428571423</v>
      </c>
      <c r="T88" s="1">
        <f t="shared" si="4"/>
        <v>2</v>
      </c>
    </row>
    <row r="89" spans="1:20" x14ac:dyDescent="0.25">
      <c r="A89" s="1" t="s">
        <v>34</v>
      </c>
      <c r="B89" s="1" t="s">
        <v>70</v>
      </c>
      <c r="C89" s="1" t="s">
        <v>22</v>
      </c>
      <c r="D89" s="1" t="s">
        <v>23</v>
      </c>
      <c r="E89" s="1" t="s">
        <v>41</v>
      </c>
      <c r="F89" s="2">
        <v>41673</v>
      </c>
      <c r="G89" s="1">
        <v>494747245</v>
      </c>
      <c r="H89" s="2">
        <v>41718</v>
      </c>
      <c r="I89" s="1">
        <v>5559</v>
      </c>
      <c r="J89" s="1">
        <v>255.28</v>
      </c>
      <c r="K89" s="1">
        <v>159.41999999999999</v>
      </c>
      <c r="L89" s="1">
        <v>1419101.52</v>
      </c>
      <c r="M89" s="1">
        <v>886215.78</v>
      </c>
      <c r="N89" s="1">
        <v>532885.74</v>
      </c>
      <c r="O89" s="4" t="str">
        <f t="shared" si="0"/>
        <v>2014-02</v>
      </c>
      <c r="P89" s="3">
        <f t="shared" si="1"/>
        <v>2014</v>
      </c>
      <c r="Q89" s="1" t="s">
        <v>22</v>
      </c>
      <c r="R89" s="3">
        <f t="shared" si="2"/>
        <v>3679369</v>
      </c>
      <c r="S89" s="1">
        <f t="shared" si="3"/>
        <v>947040.49</v>
      </c>
      <c r="T89" s="1">
        <f t="shared" si="4"/>
        <v>2</v>
      </c>
    </row>
    <row r="90" spans="1:20" x14ac:dyDescent="0.25">
      <c r="A90" s="1" t="s">
        <v>77</v>
      </c>
      <c r="B90" s="1" t="s">
        <v>115</v>
      </c>
      <c r="C90" s="1" t="s">
        <v>36</v>
      </c>
      <c r="D90" s="1" t="s">
        <v>28</v>
      </c>
      <c r="E90" s="1" t="s">
        <v>41</v>
      </c>
      <c r="F90" s="2">
        <v>41029</v>
      </c>
      <c r="G90" s="1">
        <v>513417565</v>
      </c>
      <c r="H90" s="2">
        <v>41047</v>
      </c>
      <c r="I90" s="1">
        <v>522</v>
      </c>
      <c r="J90" s="1">
        <v>9.33</v>
      </c>
      <c r="K90" s="1">
        <v>6.92</v>
      </c>
      <c r="L90" s="1">
        <v>4870.26</v>
      </c>
      <c r="M90" s="1">
        <v>3612.24</v>
      </c>
      <c r="N90" s="1">
        <v>1258.02</v>
      </c>
      <c r="O90" s="4" t="str">
        <f t="shared" si="0"/>
        <v>2012-04</v>
      </c>
      <c r="P90" s="3">
        <f t="shared" si="1"/>
        <v>2012</v>
      </c>
      <c r="Q90" s="1" t="s">
        <v>36</v>
      </c>
      <c r="R90" s="3">
        <f t="shared" si="2"/>
        <v>3679369</v>
      </c>
      <c r="S90" s="1">
        <f t="shared" si="3"/>
        <v>907702.0708333333</v>
      </c>
      <c r="T90" s="1">
        <f t="shared" si="4"/>
        <v>2</v>
      </c>
    </row>
    <row r="91" spans="1:20" x14ac:dyDescent="0.25">
      <c r="A91" s="1" t="s">
        <v>30</v>
      </c>
      <c r="B91" s="1" t="s">
        <v>116</v>
      </c>
      <c r="C91" s="1" t="s">
        <v>58</v>
      </c>
      <c r="D91" s="1" t="s">
        <v>23</v>
      </c>
      <c r="E91" s="1" t="s">
        <v>29</v>
      </c>
      <c r="F91" s="2">
        <v>42666</v>
      </c>
      <c r="G91" s="1">
        <v>345718562</v>
      </c>
      <c r="H91" s="2">
        <v>42699</v>
      </c>
      <c r="I91" s="1">
        <v>4660</v>
      </c>
      <c r="J91" s="1">
        <v>47.45</v>
      </c>
      <c r="K91" s="1">
        <v>31.79</v>
      </c>
      <c r="L91" s="1">
        <v>221117</v>
      </c>
      <c r="M91" s="1">
        <v>148141.4</v>
      </c>
      <c r="N91" s="1">
        <v>72975.600000000006</v>
      </c>
      <c r="O91" s="4" t="str">
        <f t="shared" si="0"/>
        <v>2016-10</v>
      </c>
      <c r="P91" s="3">
        <f t="shared" si="1"/>
        <v>2016</v>
      </c>
      <c r="Q91" s="1" t="s">
        <v>58</v>
      </c>
      <c r="R91" s="3">
        <f t="shared" si="2"/>
        <v>3679369</v>
      </c>
      <c r="S91" s="1">
        <f t="shared" si="3"/>
        <v>989777.69</v>
      </c>
      <c r="T91" s="1">
        <f t="shared" si="4"/>
        <v>2</v>
      </c>
    </row>
    <row r="92" spans="1:20" x14ac:dyDescent="0.25">
      <c r="A92" s="1" t="s">
        <v>34</v>
      </c>
      <c r="B92" s="1" t="s">
        <v>90</v>
      </c>
      <c r="C92" s="1" t="s">
        <v>32</v>
      </c>
      <c r="D92" s="1" t="s">
        <v>23</v>
      </c>
      <c r="E92" s="1" t="s">
        <v>24</v>
      </c>
      <c r="F92" s="2">
        <v>42710</v>
      </c>
      <c r="G92" s="1">
        <v>621386563</v>
      </c>
      <c r="H92" s="2">
        <v>42718</v>
      </c>
      <c r="I92" s="1">
        <v>948</v>
      </c>
      <c r="J92" s="1">
        <v>651.21</v>
      </c>
      <c r="K92" s="1">
        <v>524.96</v>
      </c>
      <c r="L92" s="1">
        <v>617347.07999999996</v>
      </c>
      <c r="M92" s="1">
        <v>497662.08</v>
      </c>
      <c r="N92" s="1">
        <v>119685</v>
      </c>
      <c r="O92" s="4" t="str">
        <f t="shared" si="0"/>
        <v>2016-12</v>
      </c>
      <c r="P92" s="3">
        <f t="shared" si="1"/>
        <v>2016</v>
      </c>
      <c r="Q92" s="1" t="s">
        <v>32</v>
      </c>
      <c r="R92" s="3">
        <f t="shared" si="2"/>
        <v>3458252</v>
      </c>
      <c r="S92" s="1">
        <f t="shared" si="3"/>
        <v>1066643.7590000001</v>
      </c>
      <c r="T92" s="1">
        <f t="shared" si="4"/>
        <v>2</v>
      </c>
    </row>
    <row r="93" spans="1:20" x14ac:dyDescent="0.25">
      <c r="A93" s="1" t="s">
        <v>20</v>
      </c>
      <c r="B93" s="1" t="s">
        <v>73</v>
      </c>
      <c r="C93" s="1" t="s">
        <v>58</v>
      </c>
      <c r="D93" s="1" t="s">
        <v>23</v>
      </c>
      <c r="E93" s="1" t="s">
        <v>24</v>
      </c>
      <c r="F93" s="2">
        <v>41827</v>
      </c>
      <c r="G93" s="1">
        <v>240470397</v>
      </c>
      <c r="H93" s="2">
        <v>41831</v>
      </c>
      <c r="I93" s="1">
        <v>9389</v>
      </c>
      <c r="J93" s="1">
        <v>47.45</v>
      </c>
      <c r="K93" s="1">
        <v>31.79</v>
      </c>
      <c r="L93" s="1">
        <v>445508.05</v>
      </c>
      <c r="M93" s="1">
        <v>298476.31</v>
      </c>
      <c r="N93" s="1">
        <v>147031.74</v>
      </c>
      <c r="O93" s="4" t="str">
        <f t="shared" si="0"/>
        <v>2014-07</v>
      </c>
      <c r="P93" s="3">
        <f t="shared" si="1"/>
        <v>2014</v>
      </c>
      <c r="Q93" s="1" t="s">
        <v>58</v>
      </c>
      <c r="R93" s="3">
        <f t="shared" si="2"/>
        <v>3458252</v>
      </c>
      <c r="S93" s="1">
        <f t="shared" si="3"/>
        <v>1116565.6122222221</v>
      </c>
      <c r="T93" s="1">
        <f t="shared" si="4"/>
        <v>2</v>
      </c>
    </row>
    <row r="94" spans="1:20" x14ac:dyDescent="0.25">
      <c r="A94" s="1" t="s">
        <v>77</v>
      </c>
      <c r="B94" s="1" t="s">
        <v>81</v>
      </c>
      <c r="C94" s="1" t="s">
        <v>32</v>
      </c>
      <c r="D94" s="1" t="s">
        <v>28</v>
      </c>
      <c r="E94" s="1" t="s">
        <v>41</v>
      </c>
      <c r="F94" s="2">
        <v>41073</v>
      </c>
      <c r="G94" s="1">
        <v>423331391</v>
      </c>
      <c r="H94" s="2">
        <v>41114</v>
      </c>
      <c r="I94" s="1">
        <v>2021</v>
      </c>
      <c r="J94" s="1">
        <v>651.21</v>
      </c>
      <c r="K94" s="1">
        <v>524.96</v>
      </c>
      <c r="L94" s="1">
        <v>1316095.4099999999</v>
      </c>
      <c r="M94" s="1">
        <v>1060944.1599999999</v>
      </c>
      <c r="N94" s="1">
        <v>255151.25</v>
      </c>
      <c r="O94" s="4" t="str">
        <f t="shared" si="0"/>
        <v>2012-06</v>
      </c>
      <c r="P94" s="3">
        <f t="shared" si="1"/>
        <v>2012</v>
      </c>
      <c r="Q94" s="1" t="s">
        <v>32</v>
      </c>
      <c r="R94" s="3">
        <f t="shared" si="2"/>
        <v>3458252</v>
      </c>
      <c r="S94" s="1">
        <f t="shared" si="3"/>
        <v>1200447.8075000001</v>
      </c>
      <c r="T94" s="1">
        <f t="shared" si="4"/>
        <v>2</v>
      </c>
    </row>
    <row r="95" spans="1:20" x14ac:dyDescent="0.25">
      <c r="A95" s="1" t="s">
        <v>30</v>
      </c>
      <c r="B95" s="1" t="s">
        <v>117</v>
      </c>
      <c r="C95" s="1" t="s">
        <v>56</v>
      </c>
      <c r="D95" s="1" t="s">
        <v>28</v>
      </c>
      <c r="E95" s="1" t="s">
        <v>24</v>
      </c>
      <c r="F95" s="2">
        <v>40508</v>
      </c>
      <c r="G95" s="1">
        <v>660643374</v>
      </c>
      <c r="H95" s="2">
        <v>40537</v>
      </c>
      <c r="I95" s="1">
        <v>7910</v>
      </c>
      <c r="J95" s="1">
        <v>437.2</v>
      </c>
      <c r="K95" s="1">
        <v>263.33</v>
      </c>
      <c r="L95" s="1">
        <v>3458252</v>
      </c>
      <c r="M95" s="1">
        <v>2082940.3</v>
      </c>
      <c r="N95" s="1">
        <v>1375311.7</v>
      </c>
      <c r="O95" s="4" t="str">
        <f t="shared" si="0"/>
        <v>2010-11</v>
      </c>
      <c r="P95" s="3">
        <f t="shared" si="1"/>
        <v>2010</v>
      </c>
      <c r="Q95" s="1" t="s">
        <v>56</v>
      </c>
      <c r="R95" s="3">
        <f t="shared" si="2"/>
        <v>3458252</v>
      </c>
      <c r="S95" s="1">
        <f t="shared" si="3"/>
        <v>1183926.7214285715</v>
      </c>
      <c r="T95" s="1">
        <f t="shared" si="4"/>
        <v>2</v>
      </c>
    </row>
    <row r="96" spans="1:20" x14ac:dyDescent="0.25">
      <c r="A96" s="1" t="s">
        <v>25</v>
      </c>
      <c r="B96" s="1" t="s">
        <v>118</v>
      </c>
      <c r="C96" s="1" t="s">
        <v>58</v>
      </c>
      <c r="D96" s="1" t="s">
        <v>23</v>
      </c>
      <c r="E96" s="1" t="s">
        <v>29</v>
      </c>
      <c r="F96" s="2">
        <v>40582</v>
      </c>
      <c r="G96" s="1">
        <v>963392674</v>
      </c>
      <c r="H96" s="2">
        <v>40623</v>
      </c>
      <c r="I96" s="1">
        <v>8156</v>
      </c>
      <c r="J96" s="1">
        <v>47.45</v>
      </c>
      <c r="K96" s="1">
        <v>31.79</v>
      </c>
      <c r="L96" s="1">
        <v>387002.2</v>
      </c>
      <c r="M96" s="1">
        <v>259279.24</v>
      </c>
      <c r="N96" s="1">
        <v>127722.96</v>
      </c>
      <c r="O96" s="4" t="str">
        <f t="shared" si="0"/>
        <v>2011-02</v>
      </c>
      <c r="P96" s="3">
        <f t="shared" si="1"/>
        <v>2011</v>
      </c>
      <c r="Q96" s="1" t="s">
        <v>58</v>
      </c>
      <c r="R96" s="3">
        <f t="shared" si="2"/>
        <v>0</v>
      </c>
      <c r="S96" s="1">
        <f t="shared" si="3"/>
        <v>804872.5083333333</v>
      </c>
      <c r="T96" s="1">
        <f t="shared" si="4"/>
        <v>1</v>
      </c>
    </row>
    <row r="97" spans="1:20" x14ac:dyDescent="0.25">
      <c r="A97" s="1" t="s">
        <v>34</v>
      </c>
      <c r="B97" s="1" t="s">
        <v>69</v>
      </c>
      <c r="C97" s="1" t="s">
        <v>50</v>
      </c>
      <c r="D97" s="1" t="s">
        <v>28</v>
      </c>
      <c r="E97" s="1" t="s">
        <v>41</v>
      </c>
      <c r="F97" s="2">
        <v>40750</v>
      </c>
      <c r="G97" s="1">
        <v>512878119</v>
      </c>
      <c r="H97" s="2">
        <v>40789</v>
      </c>
      <c r="I97" s="1">
        <v>888</v>
      </c>
      <c r="J97" s="1">
        <v>109.28</v>
      </c>
      <c r="K97" s="1">
        <v>35.840000000000003</v>
      </c>
      <c r="L97" s="1">
        <v>97040.639999999999</v>
      </c>
      <c r="M97" s="1">
        <v>31825.919999999998</v>
      </c>
      <c r="N97" s="1">
        <v>65214.720000000001</v>
      </c>
      <c r="O97" s="4" t="str">
        <f t="shared" si="0"/>
        <v>2011-07</v>
      </c>
      <c r="P97" s="3">
        <f t="shared" si="1"/>
        <v>2011</v>
      </c>
      <c r="Q97" s="1" t="s">
        <v>50</v>
      </c>
      <c r="R97" s="3">
        <f t="shared" si="2"/>
        <v>0</v>
      </c>
      <c r="S97" s="1">
        <f t="shared" si="3"/>
        <v>888446.57</v>
      </c>
      <c r="T97" s="1">
        <f t="shared" si="4"/>
        <v>1</v>
      </c>
    </row>
    <row r="98" spans="1:20" x14ac:dyDescent="0.25">
      <c r="A98" s="1" t="s">
        <v>47</v>
      </c>
      <c r="B98" s="1" t="s">
        <v>119</v>
      </c>
      <c r="C98" s="1" t="s">
        <v>36</v>
      </c>
      <c r="D98" s="1" t="s">
        <v>23</v>
      </c>
      <c r="E98" s="1" t="s">
        <v>33</v>
      </c>
      <c r="F98" s="2">
        <v>40858</v>
      </c>
      <c r="G98" s="1">
        <v>810711038</v>
      </c>
      <c r="H98" s="2">
        <v>40905</v>
      </c>
      <c r="I98" s="1">
        <v>6267</v>
      </c>
      <c r="J98" s="1">
        <v>9.33</v>
      </c>
      <c r="K98" s="1">
        <v>6.92</v>
      </c>
      <c r="L98" s="1">
        <v>58471.11</v>
      </c>
      <c r="M98" s="1">
        <v>43367.64</v>
      </c>
      <c r="N98" s="1">
        <v>15103.47</v>
      </c>
      <c r="O98" s="4" t="str">
        <f t="shared" si="0"/>
        <v>2011-11</v>
      </c>
      <c r="P98" s="3">
        <f t="shared" si="1"/>
        <v>2011</v>
      </c>
      <c r="Q98" s="1" t="s">
        <v>36</v>
      </c>
      <c r="R98" s="3">
        <f t="shared" si="2"/>
        <v>0</v>
      </c>
      <c r="S98" s="1">
        <f t="shared" si="3"/>
        <v>1086298.0525</v>
      </c>
      <c r="T98" s="1">
        <f t="shared" si="4"/>
        <v>1</v>
      </c>
    </row>
    <row r="99" spans="1:20" x14ac:dyDescent="0.25">
      <c r="A99" s="1" t="s">
        <v>34</v>
      </c>
      <c r="B99" s="1" t="s">
        <v>90</v>
      </c>
      <c r="C99" s="1" t="s">
        <v>43</v>
      </c>
      <c r="D99" s="1" t="s">
        <v>23</v>
      </c>
      <c r="E99" s="1" t="s">
        <v>29</v>
      </c>
      <c r="F99" s="2">
        <v>42522</v>
      </c>
      <c r="G99" s="1">
        <v>728815257</v>
      </c>
      <c r="H99" s="2">
        <v>42550</v>
      </c>
      <c r="I99" s="1">
        <v>1485</v>
      </c>
      <c r="J99" s="1">
        <v>154.06</v>
      </c>
      <c r="K99" s="1">
        <v>90.93</v>
      </c>
      <c r="L99" s="1">
        <v>228779.1</v>
      </c>
      <c r="M99" s="1">
        <v>135031.04999999999</v>
      </c>
      <c r="N99" s="1">
        <v>93748.05</v>
      </c>
      <c r="O99" s="4" t="str">
        <f t="shared" si="0"/>
        <v>2016-06</v>
      </c>
      <c r="P99" s="3">
        <f t="shared" si="1"/>
        <v>2016</v>
      </c>
      <c r="Q99" s="1" t="s">
        <v>43</v>
      </c>
      <c r="R99" s="3">
        <f t="shared" si="2"/>
        <v>0</v>
      </c>
      <c r="S99" s="1">
        <f t="shared" si="3"/>
        <v>1428907.0333333332</v>
      </c>
      <c r="T99" s="1">
        <f t="shared" si="4"/>
        <v>1</v>
      </c>
    </row>
    <row r="100" spans="1:20" x14ac:dyDescent="0.25">
      <c r="A100" s="1" t="s">
        <v>104</v>
      </c>
      <c r="B100" s="1" t="s">
        <v>105</v>
      </c>
      <c r="C100" s="1" t="s">
        <v>45</v>
      </c>
      <c r="D100" s="1" t="s">
        <v>23</v>
      </c>
      <c r="E100" s="1" t="s">
        <v>41</v>
      </c>
      <c r="F100" s="2">
        <v>42215</v>
      </c>
      <c r="G100" s="1">
        <v>559427106</v>
      </c>
      <c r="H100" s="2">
        <v>42224</v>
      </c>
      <c r="I100" s="1">
        <v>5767</v>
      </c>
      <c r="J100" s="1">
        <v>81.73</v>
      </c>
      <c r="K100" s="1">
        <v>56.67</v>
      </c>
      <c r="L100" s="1">
        <v>471336.91</v>
      </c>
      <c r="M100" s="1">
        <v>326815.89</v>
      </c>
      <c r="N100" s="1">
        <v>144521.01999999999</v>
      </c>
      <c r="O100" s="4" t="str">
        <f t="shared" si="0"/>
        <v>2015-07</v>
      </c>
      <c r="P100" s="3">
        <f t="shared" si="1"/>
        <v>2015</v>
      </c>
      <c r="Q100" s="1" t="s">
        <v>45</v>
      </c>
      <c r="R100" s="3">
        <f t="shared" si="2"/>
        <v>0</v>
      </c>
      <c r="S100" s="1">
        <f t="shared" si="3"/>
        <v>2028971</v>
      </c>
      <c r="T100" s="1">
        <f t="shared" si="4"/>
        <v>1</v>
      </c>
    </row>
    <row r="101" spans="1:20" x14ac:dyDescent="0.25">
      <c r="A101" s="1" t="s">
        <v>34</v>
      </c>
      <c r="B101" s="1" t="s">
        <v>120</v>
      </c>
      <c r="C101" s="1" t="s">
        <v>40</v>
      </c>
      <c r="D101" s="1" t="s">
        <v>23</v>
      </c>
      <c r="E101" s="1" t="s">
        <v>33</v>
      </c>
      <c r="F101" s="2">
        <v>40949</v>
      </c>
      <c r="G101" s="1">
        <v>665095412</v>
      </c>
      <c r="H101" s="2">
        <v>40954</v>
      </c>
      <c r="I101" s="1">
        <v>5367</v>
      </c>
      <c r="J101" s="1">
        <v>668.27</v>
      </c>
      <c r="K101" s="1">
        <v>502.54</v>
      </c>
      <c r="L101" s="1">
        <v>3586605.09</v>
      </c>
      <c r="M101" s="1">
        <v>2697132.18</v>
      </c>
      <c r="N101" s="1">
        <v>889472.91</v>
      </c>
      <c r="O101" s="4" t="str">
        <f t="shared" si="0"/>
        <v>2012-02</v>
      </c>
      <c r="P101" s="3">
        <f t="shared" si="1"/>
        <v>2012</v>
      </c>
      <c r="Q101" s="1" t="s">
        <v>40</v>
      </c>
      <c r="R101" s="3">
        <f t="shared" si="2"/>
        <v>0</v>
      </c>
      <c r="S101" s="1">
        <f t="shared" si="3"/>
        <v>3586605.09</v>
      </c>
      <c r="T101" s="1">
        <f t="shared" si="4"/>
        <v>1</v>
      </c>
    </row>
    <row r="102" spans="1:20" x14ac:dyDescent="0.25">
      <c r="F102" s="2"/>
      <c r="H102" s="2"/>
      <c r="O102" s="4"/>
      <c r="P102" s="3"/>
      <c r="R102" s="3"/>
    </row>
    <row r="103" spans="1:20" x14ac:dyDescent="0.25">
      <c r="F103" s="2"/>
      <c r="H103" s="2"/>
      <c r="O103" s="4"/>
      <c r="P103" s="3"/>
      <c r="R103" s="3"/>
    </row>
    <row r="104" spans="1:20" x14ac:dyDescent="0.25">
      <c r="F104" s="2"/>
      <c r="H104" s="2"/>
      <c r="O104" s="4"/>
      <c r="P104" s="3"/>
      <c r="R104" s="3"/>
    </row>
    <row r="105" spans="1:20" x14ac:dyDescent="0.25">
      <c r="F105" s="2"/>
      <c r="H105" s="2"/>
      <c r="O105" s="4"/>
      <c r="P105" s="3"/>
      <c r="R105" s="3"/>
    </row>
    <row r="106" spans="1:20" x14ac:dyDescent="0.25">
      <c r="F106" s="2"/>
      <c r="H106" s="2"/>
      <c r="O106" s="4"/>
      <c r="P106" s="3"/>
      <c r="R106" s="3"/>
    </row>
    <row r="107" spans="1:20" x14ac:dyDescent="0.25">
      <c r="F107" s="2"/>
      <c r="H107" s="2"/>
      <c r="O107" s="4"/>
      <c r="P107" s="3"/>
      <c r="R107" s="3"/>
    </row>
    <row r="108" spans="1:20" x14ac:dyDescent="0.25">
      <c r="F108" s="2"/>
      <c r="H108" s="2"/>
      <c r="O108" s="4"/>
      <c r="P108" s="3"/>
      <c r="R108" s="3"/>
    </row>
    <row r="109" spans="1:20" x14ac:dyDescent="0.25">
      <c r="F109" s="2"/>
      <c r="H109" s="2"/>
      <c r="O109" s="4"/>
      <c r="P109" s="3"/>
      <c r="R109" s="3"/>
    </row>
    <row r="110" spans="1:20" x14ac:dyDescent="0.25">
      <c r="F110" s="2"/>
      <c r="H110" s="2"/>
      <c r="O110" s="4"/>
      <c r="P110" s="3"/>
      <c r="R110" s="3"/>
    </row>
    <row r="111" spans="1:20" x14ac:dyDescent="0.25">
      <c r="F111" s="2"/>
      <c r="H111" s="2"/>
      <c r="O111" s="4"/>
      <c r="P111" s="3"/>
      <c r="R111" s="3"/>
    </row>
    <row r="112" spans="1:20" x14ac:dyDescent="0.25">
      <c r="F112" s="2"/>
      <c r="H112" s="2"/>
      <c r="O112" s="4"/>
      <c r="P112" s="3"/>
      <c r="R112" s="3"/>
    </row>
    <row r="113" spans="6:18" x14ac:dyDescent="0.25">
      <c r="F113" s="2"/>
      <c r="H113" s="2"/>
      <c r="O113" s="4"/>
      <c r="P113" s="3"/>
      <c r="R113" s="3"/>
    </row>
    <row r="114" spans="6:18" x14ac:dyDescent="0.25">
      <c r="F114" s="2"/>
      <c r="H114" s="2"/>
      <c r="O114" s="4"/>
      <c r="P114" s="3"/>
      <c r="R114" s="3"/>
    </row>
    <row r="115" spans="6:18" x14ac:dyDescent="0.25">
      <c r="F115" s="2"/>
      <c r="H115" s="2"/>
      <c r="O115" s="4"/>
      <c r="P115" s="3"/>
      <c r="R115" s="3"/>
    </row>
    <row r="116" spans="6:18" x14ac:dyDescent="0.25">
      <c r="F116" s="2"/>
      <c r="H116" s="2"/>
      <c r="O116" s="4"/>
      <c r="P116" s="3"/>
      <c r="R116" s="3"/>
    </row>
    <row r="117" spans="6:18" x14ac:dyDescent="0.25">
      <c r="F117" s="2"/>
      <c r="H117" s="2"/>
      <c r="O117" s="4"/>
      <c r="P117" s="3"/>
      <c r="R117" s="3"/>
    </row>
    <row r="118" spans="6:18" x14ac:dyDescent="0.25">
      <c r="F118" s="2"/>
      <c r="H118" s="2"/>
      <c r="O118" s="4"/>
      <c r="P118" s="3"/>
      <c r="R118" s="3"/>
    </row>
    <row r="119" spans="6:18" x14ac:dyDescent="0.25">
      <c r="F119" s="2"/>
      <c r="H119" s="2"/>
      <c r="O119" s="4"/>
      <c r="P119" s="3"/>
      <c r="R119" s="3"/>
    </row>
    <row r="120" spans="6:18" x14ac:dyDescent="0.25">
      <c r="F120" s="2"/>
      <c r="H120" s="2"/>
      <c r="O120" s="4"/>
      <c r="P120" s="3"/>
      <c r="R120" s="3"/>
    </row>
    <row r="121" spans="6:18" x14ac:dyDescent="0.25">
      <c r="F121" s="2"/>
      <c r="H121" s="2"/>
      <c r="O121" s="4"/>
      <c r="P121" s="3"/>
      <c r="R121" s="3"/>
    </row>
    <row r="122" spans="6:18" x14ac:dyDescent="0.25">
      <c r="F122" s="2"/>
      <c r="H122" s="2"/>
      <c r="O122" s="4"/>
      <c r="P122" s="3"/>
      <c r="R122" s="3"/>
    </row>
    <row r="123" spans="6:18" x14ac:dyDescent="0.25">
      <c r="F123" s="2"/>
      <c r="H123" s="2"/>
      <c r="O123" s="4"/>
      <c r="P123" s="3"/>
      <c r="R123" s="3"/>
    </row>
    <row r="124" spans="6:18" x14ac:dyDescent="0.25">
      <c r="F124" s="2"/>
      <c r="H124" s="2"/>
      <c r="O124" s="4"/>
      <c r="P124" s="3"/>
      <c r="R124" s="3"/>
    </row>
    <row r="125" spans="6:18" x14ac:dyDescent="0.25">
      <c r="F125" s="2"/>
      <c r="H125" s="2"/>
      <c r="O125" s="4"/>
      <c r="P125" s="3"/>
      <c r="R125" s="3"/>
    </row>
    <row r="126" spans="6:18" x14ac:dyDescent="0.25">
      <c r="F126" s="2"/>
      <c r="H126" s="2"/>
      <c r="O126" s="4"/>
      <c r="P126" s="3"/>
      <c r="R126" s="3"/>
    </row>
    <row r="127" spans="6:18" x14ac:dyDescent="0.25">
      <c r="F127" s="2"/>
      <c r="H127" s="2"/>
      <c r="O127" s="4"/>
      <c r="P127" s="3"/>
      <c r="R127" s="3"/>
    </row>
    <row r="128" spans="6:18" x14ac:dyDescent="0.25">
      <c r="F128" s="2"/>
      <c r="H128" s="2"/>
      <c r="O128" s="4"/>
      <c r="P128" s="3"/>
      <c r="R128" s="3"/>
    </row>
    <row r="129" spans="6:18" x14ac:dyDescent="0.25">
      <c r="F129" s="2"/>
      <c r="H129" s="2"/>
      <c r="O129" s="4"/>
      <c r="P129" s="3"/>
      <c r="R129" s="3"/>
    </row>
    <row r="130" spans="6:18" x14ac:dyDescent="0.25">
      <c r="F130" s="2"/>
      <c r="H130" s="2"/>
      <c r="O130" s="4"/>
      <c r="P130" s="3"/>
      <c r="R130" s="3"/>
    </row>
    <row r="131" spans="6:18" x14ac:dyDescent="0.25">
      <c r="F131" s="2"/>
      <c r="H131" s="2"/>
      <c r="O131" s="4"/>
      <c r="P131" s="3"/>
      <c r="R131" s="3"/>
    </row>
    <row r="132" spans="6:18" x14ac:dyDescent="0.25">
      <c r="F132" s="2"/>
      <c r="H132" s="2"/>
      <c r="O132" s="4"/>
      <c r="P132" s="3"/>
      <c r="R132" s="3"/>
    </row>
    <row r="133" spans="6:18" x14ac:dyDescent="0.25">
      <c r="F133" s="2"/>
      <c r="H133" s="2"/>
      <c r="O133" s="4"/>
      <c r="P133" s="3"/>
      <c r="R133" s="3"/>
    </row>
    <row r="134" spans="6:18" x14ac:dyDescent="0.25">
      <c r="F134" s="2"/>
      <c r="H134" s="2"/>
      <c r="O134" s="4"/>
      <c r="P134" s="3"/>
      <c r="R134" s="3"/>
    </row>
    <row r="135" spans="6:18" x14ac:dyDescent="0.25">
      <c r="F135" s="2"/>
      <c r="H135" s="2"/>
      <c r="O135" s="4"/>
      <c r="P135" s="3"/>
      <c r="R135" s="3"/>
    </row>
    <row r="136" spans="6:18" x14ac:dyDescent="0.25">
      <c r="F136" s="2"/>
      <c r="H136" s="2"/>
      <c r="O136" s="4"/>
      <c r="P136" s="3"/>
      <c r="R136" s="3"/>
    </row>
    <row r="137" spans="6:18" x14ac:dyDescent="0.25">
      <c r="F137" s="2"/>
      <c r="H137" s="2"/>
      <c r="O137" s="4"/>
      <c r="P137" s="3"/>
      <c r="R137" s="3"/>
    </row>
    <row r="138" spans="6:18" x14ac:dyDescent="0.25">
      <c r="F138" s="2"/>
      <c r="H138" s="2"/>
      <c r="O138" s="4"/>
      <c r="P138" s="3"/>
      <c r="R138" s="3"/>
    </row>
    <row r="139" spans="6:18" x14ac:dyDescent="0.25">
      <c r="F139" s="2"/>
      <c r="H139" s="2"/>
      <c r="O139" s="4"/>
      <c r="P139" s="3"/>
      <c r="R139" s="3"/>
    </row>
    <row r="140" spans="6:18" x14ac:dyDescent="0.25">
      <c r="F140" s="2"/>
      <c r="H140" s="2"/>
      <c r="O140" s="4"/>
      <c r="P140" s="3"/>
      <c r="R140" s="3"/>
    </row>
    <row r="141" spans="6:18" x14ac:dyDescent="0.25">
      <c r="F141" s="2"/>
      <c r="H141" s="2"/>
      <c r="O141" s="4"/>
      <c r="P141" s="3"/>
      <c r="R141" s="3"/>
    </row>
    <row r="142" spans="6:18" x14ac:dyDescent="0.25">
      <c r="F142" s="2"/>
      <c r="H142" s="2"/>
      <c r="O142" s="4"/>
      <c r="P142" s="3"/>
      <c r="R142" s="3"/>
    </row>
    <row r="143" spans="6:18" x14ac:dyDescent="0.25">
      <c r="F143" s="2"/>
      <c r="H143" s="2"/>
      <c r="O143" s="4"/>
      <c r="P143" s="3"/>
      <c r="R143" s="3"/>
    </row>
    <row r="144" spans="6:18" x14ac:dyDescent="0.25">
      <c r="F144" s="2"/>
      <c r="H144" s="2"/>
      <c r="O144" s="4"/>
      <c r="P144" s="3"/>
      <c r="R144" s="3"/>
    </row>
    <row r="145" spans="6:18" x14ac:dyDescent="0.25">
      <c r="F145" s="2"/>
      <c r="H145" s="2"/>
      <c r="O145" s="4"/>
      <c r="P145" s="3"/>
      <c r="R145" s="3"/>
    </row>
    <row r="146" spans="6:18" x14ac:dyDescent="0.25">
      <c r="F146" s="2"/>
      <c r="H146" s="2"/>
      <c r="O146" s="4"/>
      <c r="P146" s="3"/>
      <c r="R146" s="3"/>
    </row>
    <row r="147" spans="6:18" x14ac:dyDescent="0.25">
      <c r="F147" s="2"/>
      <c r="H147" s="2"/>
      <c r="O147" s="4"/>
      <c r="P147" s="3"/>
      <c r="R147" s="3"/>
    </row>
    <row r="148" spans="6:18" x14ac:dyDescent="0.25">
      <c r="F148" s="2"/>
      <c r="H148" s="2"/>
      <c r="O148" s="4"/>
      <c r="P148" s="3"/>
      <c r="R148" s="3"/>
    </row>
    <row r="149" spans="6:18" x14ac:dyDescent="0.25">
      <c r="F149" s="2"/>
      <c r="H149" s="2"/>
      <c r="O149" s="4"/>
      <c r="P149" s="3"/>
      <c r="R149" s="3"/>
    </row>
    <row r="150" spans="6:18" x14ac:dyDescent="0.25">
      <c r="F150" s="2"/>
      <c r="H150" s="2"/>
      <c r="O150" s="4"/>
      <c r="P150" s="3"/>
      <c r="R150" s="3"/>
    </row>
    <row r="151" spans="6:18" x14ac:dyDescent="0.25">
      <c r="F151" s="2"/>
      <c r="H151" s="2"/>
      <c r="O151" s="4"/>
      <c r="P151" s="3"/>
      <c r="R151" s="3"/>
    </row>
    <row r="152" spans="6:18" x14ac:dyDescent="0.25">
      <c r="F152" s="2"/>
      <c r="H152" s="2"/>
      <c r="O152" s="4"/>
      <c r="P152" s="3"/>
      <c r="R152" s="3"/>
    </row>
    <row r="153" spans="6:18" x14ac:dyDescent="0.25">
      <c r="F153" s="2"/>
      <c r="H153" s="2"/>
      <c r="O153" s="4"/>
      <c r="P153" s="3"/>
      <c r="R153" s="3"/>
    </row>
    <row r="154" spans="6:18" x14ac:dyDescent="0.25">
      <c r="F154" s="2"/>
      <c r="H154" s="2"/>
      <c r="O154" s="4"/>
      <c r="P154" s="3"/>
      <c r="R154" s="3"/>
    </row>
    <row r="155" spans="6:18" x14ac:dyDescent="0.25">
      <c r="F155" s="2"/>
      <c r="H155" s="2"/>
      <c r="O155" s="4"/>
      <c r="P155" s="3"/>
      <c r="R155" s="3"/>
    </row>
    <row r="156" spans="6:18" x14ac:dyDescent="0.25">
      <c r="F156" s="2"/>
      <c r="H156" s="2"/>
      <c r="O156" s="4"/>
      <c r="P156" s="3"/>
      <c r="R156" s="3"/>
    </row>
    <row r="157" spans="6:18" x14ac:dyDescent="0.25">
      <c r="F157" s="2"/>
      <c r="H157" s="2"/>
      <c r="O157" s="4"/>
      <c r="P157" s="3"/>
      <c r="R157" s="3"/>
    </row>
    <row r="158" spans="6:18" x14ac:dyDescent="0.25">
      <c r="F158" s="2"/>
      <c r="H158" s="2"/>
      <c r="O158" s="4"/>
      <c r="P158" s="3"/>
      <c r="R158" s="3"/>
    </row>
    <row r="159" spans="6:18" x14ac:dyDescent="0.25">
      <c r="F159" s="2"/>
      <c r="H159" s="2"/>
      <c r="O159" s="4"/>
      <c r="P159" s="3"/>
      <c r="R159" s="3"/>
    </row>
    <row r="160" spans="6:18" x14ac:dyDescent="0.25">
      <c r="F160" s="2"/>
      <c r="H160" s="2"/>
      <c r="O160" s="4"/>
      <c r="P160" s="3"/>
      <c r="R160" s="3"/>
    </row>
    <row r="161" spans="6:18" x14ac:dyDescent="0.25">
      <c r="F161" s="2"/>
      <c r="H161" s="2"/>
      <c r="O161" s="4"/>
      <c r="P161" s="3"/>
      <c r="R161" s="3"/>
    </row>
    <row r="162" spans="6:18" x14ac:dyDescent="0.25">
      <c r="F162" s="2"/>
      <c r="H162" s="2"/>
      <c r="O162" s="4"/>
      <c r="P162" s="3"/>
      <c r="R162" s="3"/>
    </row>
    <row r="163" spans="6:18" x14ac:dyDescent="0.25">
      <c r="F163" s="2"/>
      <c r="H163" s="2"/>
      <c r="O163" s="4"/>
      <c r="P163" s="3"/>
      <c r="R163" s="3"/>
    </row>
    <row r="164" spans="6:18" x14ac:dyDescent="0.25">
      <c r="F164" s="2"/>
      <c r="H164" s="2"/>
      <c r="O164" s="4"/>
      <c r="P164" s="3"/>
      <c r="R164" s="3"/>
    </row>
    <row r="165" spans="6:18" x14ac:dyDescent="0.25">
      <c r="F165" s="2"/>
      <c r="H165" s="2"/>
      <c r="O165" s="4"/>
      <c r="P165" s="3"/>
      <c r="R165" s="3"/>
    </row>
    <row r="166" spans="6:18" x14ac:dyDescent="0.25">
      <c r="F166" s="2"/>
      <c r="H166" s="2"/>
      <c r="O166" s="4"/>
      <c r="P166" s="3"/>
      <c r="R166" s="3"/>
    </row>
    <row r="167" spans="6:18" x14ac:dyDescent="0.25">
      <c r="F167" s="2"/>
      <c r="H167" s="2"/>
      <c r="O167" s="4"/>
      <c r="P167" s="3"/>
      <c r="R167" s="3"/>
    </row>
    <row r="168" spans="6:18" x14ac:dyDescent="0.25">
      <c r="F168" s="2"/>
      <c r="H168" s="2"/>
      <c r="O168" s="4"/>
      <c r="P168" s="3"/>
      <c r="R168" s="3"/>
    </row>
    <row r="169" spans="6:18" x14ac:dyDescent="0.25">
      <c r="F169" s="2"/>
      <c r="H169" s="2"/>
      <c r="O169" s="4"/>
      <c r="P169" s="3"/>
      <c r="R169" s="3"/>
    </row>
    <row r="170" spans="6:18" x14ac:dyDescent="0.25">
      <c r="F170" s="2"/>
      <c r="H170" s="2"/>
      <c r="O170" s="4"/>
      <c r="P170" s="3"/>
      <c r="R170" s="3"/>
    </row>
    <row r="171" spans="6:18" x14ac:dyDescent="0.25">
      <c r="F171" s="2"/>
      <c r="H171" s="2"/>
      <c r="O171" s="4"/>
      <c r="P171" s="3"/>
      <c r="R171" s="3"/>
    </row>
    <row r="172" spans="6:18" x14ac:dyDescent="0.25">
      <c r="F172" s="2"/>
      <c r="H172" s="2"/>
      <c r="O172" s="4"/>
      <c r="P172" s="3"/>
      <c r="R172" s="3"/>
    </row>
    <row r="173" spans="6:18" x14ac:dyDescent="0.25">
      <c r="F173" s="2"/>
      <c r="H173" s="2"/>
      <c r="O173" s="4"/>
      <c r="P173" s="3"/>
      <c r="R173" s="3"/>
    </row>
    <row r="174" spans="6:18" x14ac:dyDescent="0.25">
      <c r="F174" s="2"/>
      <c r="H174" s="2"/>
      <c r="O174" s="4"/>
      <c r="P174" s="3"/>
      <c r="R174" s="3"/>
    </row>
    <row r="175" spans="6:18" x14ac:dyDescent="0.25">
      <c r="F175" s="2"/>
      <c r="H175" s="2"/>
      <c r="O175" s="4"/>
      <c r="P175" s="3"/>
      <c r="R175" s="3"/>
    </row>
    <row r="176" spans="6:18" x14ac:dyDescent="0.25">
      <c r="F176" s="2"/>
      <c r="H176" s="2"/>
      <c r="O176" s="4"/>
      <c r="P176" s="3"/>
      <c r="R176" s="3"/>
    </row>
    <row r="177" spans="6:18" x14ac:dyDescent="0.25">
      <c r="F177" s="2"/>
      <c r="H177" s="2"/>
      <c r="O177" s="4"/>
      <c r="P177" s="3"/>
      <c r="R177" s="3"/>
    </row>
    <row r="178" spans="6:18" x14ac:dyDescent="0.25">
      <c r="F178" s="2"/>
      <c r="H178" s="2"/>
      <c r="O178" s="4"/>
      <c r="P178" s="3"/>
      <c r="R178" s="3"/>
    </row>
    <row r="179" spans="6:18" x14ac:dyDescent="0.25">
      <c r="F179" s="2"/>
      <c r="H179" s="2"/>
      <c r="O179" s="4"/>
      <c r="P179" s="3"/>
      <c r="R179" s="3"/>
    </row>
    <row r="180" spans="6:18" x14ac:dyDescent="0.25">
      <c r="F180" s="2"/>
      <c r="H180" s="2"/>
      <c r="O180" s="4"/>
      <c r="P180" s="3"/>
      <c r="R180" s="3"/>
    </row>
    <row r="181" spans="6:18" x14ac:dyDescent="0.25">
      <c r="F181" s="2"/>
      <c r="H181" s="2"/>
      <c r="O181" s="4"/>
      <c r="P181" s="3"/>
      <c r="R181" s="3"/>
    </row>
    <row r="182" spans="6:18" x14ac:dyDescent="0.25">
      <c r="F182" s="2"/>
      <c r="H182" s="2"/>
      <c r="O182" s="4"/>
      <c r="P182" s="3"/>
      <c r="R182" s="3"/>
    </row>
    <row r="183" spans="6:18" x14ac:dyDescent="0.25">
      <c r="F183" s="2"/>
      <c r="H183" s="2"/>
      <c r="O183" s="4"/>
      <c r="P183" s="3"/>
      <c r="R183" s="3"/>
    </row>
    <row r="184" spans="6:18" x14ac:dyDescent="0.25">
      <c r="F184" s="2"/>
      <c r="H184" s="2"/>
      <c r="O184" s="4"/>
      <c r="P184" s="3"/>
      <c r="R184" s="3"/>
    </row>
    <row r="185" spans="6:18" x14ac:dyDescent="0.25">
      <c r="F185" s="2"/>
      <c r="H185" s="2"/>
      <c r="O185" s="4"/>
      <c r="P185" s="3"/>
      <c r="R185" s="3"/>
    </row>
    <row r="186" spans="6:18" x14ac:dyDescent="0.25">
      <c r="F186" s="2"/>
      <c r="H186" s="2"/>
      <c r="O186" s="4"/>
      <c r="P186" s="3"/>
      <c r="R186" s="3"/>
    </row>
    <row r="187" spans="6:18" x14ac:dyDescent="0.25">
      <c r="F187" s="2"/>
      <c r="H187" s="2"/>
      <c r="O187" s="4"/>
      <c r="P187" s="3"/>
      <c r="R187" s="3"/>
    </row>
    <row r="188" spans="6:18" x14ac:dyDescent="0.25">
      <c r="F188" s="2"/>
      <c r="H188" s="2"/>
      <c r="O188" s="4"/>
      <c r="P188" s="3"/>
      <c r="R188" s="3"/>
    </row>
    <row r="189" spans="6:18" x14ac:dyDescent="0.25">
      <c r="F189" s="2"/>
      <c r="H189" s="2"/>
      <c r="O189" s="4"/>
      <c r="P189" s="3"/>
      <c r="R189" s="3"/>
    </row>
    <row r="190" spans="6:18" x14ac:dyDescent="0.25">
      <c r="F190" s="2"/>
      <c r="H190" s="2"/>
      <c r="O190" s="4"/>
      <c r="P190" s="3"/>
      <c r="R190" s="3"/>
    </row>
    <row r="191" spans="6:18" x14ac:dyDescent="0.25">
      <c r="F191" s="2"/>
      <c r="H191" s="2"/>
      <c r="O191" s="4"/>
      <c r="P191" s="3"/>
      <c r="R191" s="3"/>
    </row>
    <row r="192" spans="6:18" x14ac:dyDescent="0.25">
      <c r="F192" s="2"/>
      <c r="H192" s="2"/>
      <c r="O192" s="4"/>
      <c r="P192" s="3"/>
      <c r="R192" s="3"/>
    </row>
    <row r="193" spans="6:18" x14ac:dyDescent="0.25">
      <c r="F193" s="2"/>
      <c r="H193" s="2"/>
      <c r="O193" s="4"/>
      <c r="P193" s="3"/>
      <c r="R193" s="3"/>
    </row>
    <row r="194" spans="6:18" x14ac:dyDescent="0.25">
      <c r="F194" s="2"/>
      <c r="H194" s="2"/>
      <c r="O194" s="4"/>
      <c r="P194" s="3"/>
      <c r="R194" s="3"/>
    </row>
    <row r="195" spans="6:18" x14ac:dyDescent="0.25">
      <c r="F195" s="2"/>
      <c r="H195" s="2"/>
      <c r="O195" s="4"/>
      <c r="P195" s="3"/>
      <c r="R195" s="3"/>
    </row>
    <row r="196" spans="6:18" x14ac:dyDescent="0.25">
      <c r="F196" s="2"/>
      <c r="H196" s="2"/>
      <c r="O196" s="4"/>
      <c r="P196" s="3"/>
      <c r="R196" s="3"/>
    </row>
    <row r="197" spans="6:18" x14ac:dyDescent="0.25">
      <c r="F197" s="2"/>
      <c r="H197" s="2"/>
      <c r="O197" s="4"/>
      <c r="P197" s="3"/>
      <c r="R197" s="3"/>
    </row>
    <row r="198" spans="6:18" x14ac:dyDescent="0.25">
      <c r="F198" s="2"/>
      <c r="H198" s="2"/>
      <c r="O198" s="4"/>
      <c r="P198" s="3"/>
      <c r="R198" s="3"/>
    </row>
    <row r="199" spans="6:18" x14ac:dyDescent="0.25">
      <c r="F199" s="2"/>
      <c r="H199" s="2"/>
      <c r="O199" s="4"/>
      <c r="P199" s="3"/>
      <c r="R199" s="3"/>
    </row>
    <row r="200" spans="6:18" x14ac:dyDescent="0.25">
      <c r="F200" s="2"/>
      <c r="H200" s="2"/>
      <c r="O200" s="4"/>
      <c r="P200" s="3"/>
      <c r="R200" s="3"/>
    </row>
    <row r="201" spans="6:18" x14ac:dyDescent="0.25">
      <c r="F201" s="2"/>
      <c r="H201" s="2"/>
      <c r="O201" s="4"/>
      <c r="P201" s="3"/>
      <c r="R201" s="3"/>
    </row>
    <row r="202" spans="6:18" x14ac:dyDescent="0.25">
      <c r="F202" s="2"/>
      <c r="H202" s="2"/>
      <c r="O202" s="4"/>
      <c r="P202" s="3"/>
      <c r="R202" s="3"/>
    </row>
    <row r="203" spans="6:18" x14ac:dyDescent="0.25">
      <c r="F203" s="2"/>
      <c r="H203" s="2"/>
      <c r="O203" s="4"/>
      <c r="P203" s="3"/>
      <c r="R203" s="3"/>
    </row>
    <row r="204" spans="6:18" x14ac:dyDescent="0.25">
      <c r="F204" s="2"/>
      <c r="H204" s="2"/>
      <c r="O204" s="4"/>
      <c r="P204" s="3"/>
      <c r="R204" s="3"/>
    </row>
    <row r="205" spans="6:18" x14ac:dyDescent="0.25">
      <c r="F205" s="2"/>
      <c r="H205" s="2"/>
      <c r="O205" s="4"/>
      <c r="P205" s="3"/>
      <c r="R205" s="3"/>
    </row>
    <row r="206" spans="6:18" x14ac:dyDescent="0.25">
      <c r="F206" s="2"/>
      <c r="H206" s="2"/>
      <c r="O206" s="4"/>
      <c r="P206" s="3"/>
      <c r="R206" s="3"/>
    </row>
    <row r="207" spans="6:18" x14ac:dyDescent="0.25">
      <c r="F207" s="2"/>
      <c r="H207" s="2"/>
      <c r="O207" s="4"/>
      <c r="P207" s="3"/>
      <c r="R207" s="3"/>
    </row>
    <row r="208" spans="6:18" x14ac:dyDescent="0.25">
      <c r="F208" s="2"/>
      <c r="H208" s="2"/>
      <c r="O208" s="4"/>
      <c r="P208" s="3"/>
      <c r="R208" s="3"/>
    </row>
    <row r="209" spans="6:18" x14ac:dyDescent="0.25">
      <c r="F209" s="2"/>
      <c r="H209" s="2"/>
      <c r="O209" s="4"/>
      <c r="P209" s="3"/>
      <c r="R209" s="3"/>
    </row>
    <row r="210" spans="6:18" x14ac:dyDescent="0.25">
      <c r="F210" s="2"/>
      <c r="H210" s="2"/>
      <c r="O210" s="4"/>
      <c r="P210" s="3"/>
      <c r="R210" s="3"/>
    </row>
    <row r="211" spans="6:18" x14ac:dyDescent="0.25">
      <c r="F211" s="2"/>
      <c r="H211" s="2"/>
      <c r="O211" s="4"/>
      <c r="P211" s="3"/>
      <c r="R211" s="3"/>
    </row>
    <row r="212" spans="6:18" x14ac:dyDescent="0.25">
      <c r="F212" s="2"/>
      <c r="H212" s="2"/>
      <c r="O212" s="4"/>
      <c r="P212" s="3"/>
      <c r="R212" s="3"/>
    </row>
    <row r="213" spans="6:18" x14ac:dyDescent="0.25">
      <c r="F213" s="2"/>
      <c r="H213" s="2"/>
      <c r="O213" s="4"/>
      <c r="P213" s="3"/>
      <c r="R213" s="3"/>
    </row>
    <row r="214" spans="6:18" x14ac:dyDescent="0.25">
      <c r="F214" s="2"/>
      <c r="H214" s="2"/>
      <c r="O214" s="4"/>
      <c r="P214" s="3"/>
      <c r="R214" s="3"/>
    </row>
    <row r="215" spans="6:18" x14ac:dyDescent="0.25">
      <c r="F215" s="2"/>
      <c r="H215" s="2"/>
      <c r="O215" s="4"/>
      <c r="P215" s="3"/>
      <c r="R215" s="3"/>
    </row>
    <row r="216" spans="6:18" x14ac:dyDescent="0.25">
      <c r="F216" s="2"/>
      <c r="H216" s="2"/>
      <c r="O216" s="4"/>
      <c r="P216" s="3"/>
      <c r="R216" s="3"/>
    </row>
    <row r="217" spans="6:18" x14ac:dyDescent="0.25">
      <c r="F217" s="2"/>
      <c r="H217" s="2"/>
      <c r="O217" s="4"/>
      <c r="P217" s="3"/>
      <c r="R217" s="3"/>
    </row>
    <row r="218" spans="6:18" x14ac:dyDescent="0.25">
      <c r="F218" s="2"/>
      <c r="H218" s="2"/>
      <c r="O218" s="4"/>
      <c r="P218" s="3"/>
      <c r="R218" s="3"/>
    </row>
    <row r="219" spans="6:18" x14ac:dyDescent="0.25">
      <c r="F219" s="2"/>
      <c r="H219" s="2"/>
      <c r="O219" s="4"/>
      <c r="P219" s="3"/>
      <c r="R219" s="3"/>
    </row>
    <row r="220" spans="6:18" x14ac:dyDescent="0.25">
      <c r="F220" s="2"/>
      <c r="H220" s="2"/>
      <c r="O220" s="4"/>
      <c r="P220" s="3"/>
      <c r="R220" s="3"/>
    </row>
    <row r="221" spans="6:18" x14ac:dyDescent="0.25">
      <c r="F221" s="2"/>
      <c r="H221" s="2"/>
      <c r="O221" s="4"/>
      <c r="P221" s="3"/>
      <c r="R221" s="3"/>
    </row>
    <row r="222" spans="6:18" x14ac:dyDescent="0.25">
      <c r="F222" s="2"/>
      <c r="H222" s="2"/>
      <c r="O222" s="4"/>
      <c r="P222" s="3"/>
      <c r="R222" s="3"/>
    </row>
    <row r="223" spans="6:18" x14ac:dyDescent="0.25">
      <c r="F223" s="2"/>
      <c r="H223" s="2"/>
      <c r="O223" s="4"/>
      <c r="P223" s="3"/>
      <c r="R223" s="3"/>
    </row>
    <row r="224" spans="6:18" x14ac:dyDescent="0.25">
      <c r="F224" s="2"/>
      <c r="H224" s="2"/>
      <c r="O224" s="4"/>
      <c r="P224" s="3"/>
      <c r="R224" s="3"/>
    </row>
    <row r="225" spans="6:18" x14ac:dyDescent="0.25">
      <c r="F225" s="2"/>
      <c r="H225" s="2"/>
      <c r="O225" s="4"/>
      <c r="P225" s="3"/>
      <c r="R225" s="3"/>
    </row>
    <row r="226" spans="6:18" x14ac:dyDescent="0.25">
      <c r="F226" s="2"/>
      <c r="H226" s="2"/>
      <c r="O226" s="4"/>
      <c r="P226" s="3"/>
      <c r="R226" s="3"/>
    </row>
    <row r="227" spans="6:18" x14ac:dyDescent="0.25">
      <c r="F227" s="2"/>
      <c r="H227" s="2"/>
      <c r="O227" s="4"/>
      <c r="P227" s="3"/>
      <c r="R227" s="3"/>
    </row>
    <row r="228" spans="6:18" x14ac:dyDescent="0.25">
      <c r="F228" s="2"/>
      <c r="H228" s="2"/>
      <c r="O228" s="4"/>
      <c r="P228" s="3"/>
      <c r="R228" s="3"/>
    </row>
    <row r="229" spans="6:18" x14ac:dyDescent="0.25">
      <c r="F229" s="2"/>
      <c r="H229" s="2"/>
      <c r="O229" s="4"/>
      <c r="P229" s="3"/>
      <c r="R229" s="3"/>
    </row>
    <row r="230" spans="6:18" x14ac:dyDescent="0.25">
      <c r="F230" s="2"/>
      <c r="H230" s="2"/>
      <c r="O230" s="4"/>
      <c r="P230" s="3"/>
      <c r="R230" s="3"/>
    </row>
    <row r="231" spans="6:18" x14ac:dyDescent="0.25">
      <c r="F231" s="2"/>
      <c r="H231" s="2"/>
      <c r="O231" s="4"/>
      <c r="P231" s="3"/>
      <c r="R231" s="3"/>
    </row>
    <row r="232" spans="6:18" x14ac:dyDescent="0.25">
      <c r="F232" s="2"/>
      <c r="H232" s="2"/>
      <c r="O232" s="4"/>
      <c r="P232" s="3"/>
      <c r="R232" s="3"/>
    </row>
    <row r="233" spans="6:18" x14ac:dyDescent="0.25">
      <c r="F233" s="2"/>
      <c r="H233" s="2"/>
      <c r="O233" s="4"/>
      <c r="P233" s="3"/>
      <c r="R233" s="3"/>
    </row>
    <row r="234" spans="6:18" x14ac:dyDescent="0.25">
      <c r="F234" s="2"/>
      <c r="H234" s="2"/>
      <c r="O234" s="4"/>
      <c r="P234" s="3"/>
      <c r="R234" s="3"/>
    </row>
    <row r="235" spans="6:18" x14ac:dyDescent="0.25">
      <c r="F235" s="2"/>
      <c r="H235" s="2"/>
      <c r="O235" s="4"/>
      <c r="P235" s="3"/>
      <c r="R235" s="3"/>
    </row>
    <row r="236" spans="6:18" x14ac:dyDescent="0.25">
      <c r="F236" s="2"/>
      <c r="H236" s="2"/>
      <c r="O236" s="4"/>
      <c r="P236" s="3"/>
      <c r="R236" s="3"/>
    </row>
    <row r="237" spans="6:18" x14ac:dyDescent="0.25">
      <c r="F237" s="2"/>
      <c r="H237" s="2"/>
      <c r="O237" s="4"/>
      <c r="P237" s="3"/>
      <c r="R237" s="3"/>
    </row>
    <row r="238" spans="6:18" x14ac:dyDescent="0.25">
      <c r="F238" s="2"/>
      <c r="H238" s="2"/>
      <c r="O238" s="4"/>
      <c r="P238" s="3"/>
      <c r="R238" s="3"/>
    </row>
    <row r="239" spans="6:18" x14ac:dyDescent="0.25">
      <c r="F239" s="2"/>
      <c r="H239" s="2"/>
      <c r="O239" s="4"/>
      <c r="P239" s="3"/>
      <c r="R239" s="3"/>
    </row>
    <row r="240" spans="6:18" x14ac:dyDescent="0.25">
      <c r="F240" s="2"/>
      <c r="H240" s="2"/>
      <c r="O240" s="4"/>
      <c r="P240" s="3"/>
      <c r="R240" s="3"/>
    </row>
    <row r="241" spans="6:18" x14ac:dyDescent="0.25">
      <c r="F241" s="2"/>
      <c r="H241" s="2"/>
      <c r="O241" s="4"/>
      <c r="P241" s="3"/>
      <c r="R241" s="3"/>
    </row>
    <row r="242" spans="6:18" x14ac:dyDescent="0.25">
      <c r="F242" s="2"/>
      <c r="H242" s="2"/>
      <c r="O242" s="4"/>
      <c r="P242" s="3"/>
      <c r="R242" s="3"/>
    </row>
    <row r="243" spans="6:18" x14ac:dyDescent="0.25">
      <c r="F243" s="2"/>
      <c r="H243" s="2"/>
      <c r="O243" s="4"/>
      <c r="P243" s="3"/>
      <c r="R243" s="3"/>
    </row>
    <row r="244" spans="6:18" x14ac:dyDescent="0.25">
      <c r="F244" s="2"/>
      <c r="H244" s="2"/>
      <c r="O244" s="4"/>
      <c r="P244" s="3"/>
      <c r="R244" s="3"/>
    </row>
    <row r="245" spans="6:18" x14ac:dyDescent="0.25">
      <c r="F245" s="2"/>
      <c r="H245" s="2"/>
      <c r="O245" s="4"/>
      <c r="P245" s="3"/>
      <c r="R245" s="3"/>
    </row>
    <row r="246" spans="6:18" x14ac:dyDescent="0.25">
      <c r="F246" s="2"/>
      <c r="H246" s="2"/>
      <c r="O246" s="4"/>
      <c r="P246" s="3"/>
      <c r="R246" s="3"/>
    </row>
    <row r="247" spans="6:18" x14ac:dyDescent="0.25">
      <c r="F247" s="2"/>
      <c r="H247" s="2"/>
      <c r="O247" s="4"/>
      <c r="P247" s="3"/>
      <c r="R247" s="3"/>
    </row>
    <row r="248" spans="6:18" x14ac:dyDescent="0.25">
      <c r="F248" s="2"/>
      <c r="H248" s="2"/>
      <c r="O248" s="4"/>
      <c r="P248" s="3"/>
      <c r="R248" s="3"/>
    </row>
    <row r="249" spans="6:18" x14ac:dyDescent="0.25">
      <c r="F249" s="2"/>
      <c r="H249" s="2"/>
      <c r="O249" s="4"/>
      <c r="P249" s="3"/>
      <c r="R249" s="3"/>
    </row>
    <row r="250" spans="6:18" x14ac:dyDescent="0.25">
      <c r="F250" s="2"/>
      <c r="H250" s="2"/>
      <c r="O250" s="4"/>
      <c r="P250" s="3"/>
      <c r="R250" s="3"/>
    </row>
    <row r="251" spans="6:18" x14ac:dyDescent="0.25">
      <c r="F251" s="2"/>
      <c r="H251" s="2"/>
      <c r="O251" s="4"/>
      <c r="P251" s="3"/>
      <c r="R251" s="3"/>
    </row>
    <row r="252" spans="6:18" x14ac:dyDescent="0.25">
      <c r="F252" s="2"/>
      <c r="H252" s="2"/>
      <c r="O252" s="4"/>
      <c r="P252" s="3"/>
      <c r="R252" s="3"/>
    </row>
    <row r="253" spans="6:18" x14ac:dyDescent="0.25">
      <c r="F253" s="2"/>
      <c r="H253" s="2"/>
      <c r="O253" s="4"/>
      <c r="P253" s="3"/>
      <c r="R253" s="3"/>
    </row>
    <row r="254" spans="6:18" x14ac:dyDescent="0.25">
      <c r="F254" s="2"/>
      <c r="H254" s="2"/>
      <c r="O254" s="4"/>
      <c r="P254" s="3"/>
      <c r="R254" s="3"/>
    </row>
    <row r="255" spans="6:18" x14ac:dyDescent="0.25">
      <c r="F255" s="2"/>
      <c r="H255" s="2"/>
      <c r="O255" s="4"/>
      <c r="P255" s="3"/>
      <c r="R255" s="3"/>
    </row>
    <row r="256" spans="6:18" x14ac:dyDescent="0.25">
      <c r="F256" s="2"/>
      <c r="H256" s="2"/>
      <c r="O256" s="4"/>
      <c r="P256" s="3"/>
      <c r="R256" s="3"/>
    </row>
    <row r="257" spans="6:18" x14ac:dyDescent="0.25">
      <c r="F257" s="2"/>
      <c r="H257" s="2"/>
      <c r="O257" s="4"/>
      <c r="P257" s="3"/>
      <c r="R257" s="3"/>
    </row>
    <row r="258" spans="6:18" x14ac:dyDescent="0.25">
      <c r="F258" s="2"/>
      <c r="H258" s="2"/>
      <c r="O258" s="4"/>
      <c r="P258" s="3"/>
      <c r="R258" s="3"/>
    </row>
    <row r="259" spans="6:18" x14ac:dyDescent="0.25">
      <c r="F259" s="2"/>
      <c r="H259" s="2"/>
      <c r="O259" s="4"/>
      <c r="P259" s="3"/>
      <c r="R259" s="3"/>
    </row>
    <row r="260" spans="6:18" x14ac:dyDescent="0.25">
      <c r="F260" s="2"/>
      <c r="H260" s="2"/>
      <c r="O260" s="4"/>
      <c r="P260" s="3"/>
      <c r="R260" s="3"/>
    </row>
    <row r="261" spans="6:18" x14ac:dyDescent="0.25">
      <c r="F261" s="2"/>
      <c r="H261" s="2"/>
      <c r="O261" s="4"/>
      <c r="P261" s="3"/>
      <c r="R261" s="3"/>
    </row>
    <row r="262" spans="6:18" x14ac:dyDescent="0.25">
      <c r="F262" s="2"/>
      <c r="H262" s="2"/>
      <c r="O262" s="4"/>
      <c r="P262" s="3"/>
      <c r="R262" s="3"/>
    </row>
    <row r="263" spans="6:18" x14ac:dyDescent="0.25">
      <c r="F263" s="2"/>
      <c r="H263" s="2"/>
      <c r="O263" s="4"/>
      <c r="P263" s="3"/>
      <c r="R263" s="3"/>
    </row>
    <row r="264" spans="6:18" x14ac:dyDescent="0.25">
      <c r="F264" s="2"/>
      <c r="H264" s="2"/>
      <c r="O264" s="4"/>
      <c r="P264" s="3"/>
      <c r="R264" s="3"/>
    </row>
    <row r="265" spans="6:18" x14ac:dyDescent="0.25">
      <c r="F265" s="2"/>
      <c r="H265" s="2"/>
      <c r="O265" s="4"/>
      <c r="P265" s="3"/>
      <c r="R265" s="3"/>
    </row>
    <row r="266" spans="6:18" x14ac:dyDescent="0.25">
      <c r="F266" s="2"/>
      <c r="H266" s="2"/>
      <c r="O266" s="4"/>
      <c r="P266" s="3"/>
      <c r="R266" s="3"/>
    </row>
    <row r="267" spans="6:18" x14ac:dyDescent="0.25">
      <c r="F267" s="2"/>
      <c r="H267" s="2"/>
      <c r="O267" s="4"/>
      <c r="P267" s="3"/>
      <c r="R267" s="3"/>
    </row>
    <row r="268" spans="6:18" x14ac:dyDescent="0.25">
      <c r="F268" s="2"/>
      <c r="H268" s="2"/>
      <c r="O268" s="4"/>
      <c r="P268" s="3"/>
      <c r="R268" s="3"/>
    </row>
    <row r="269" spans="6:18" x14ac:dyDescent="0.25">
      <c r="F269" s="2"/>
      <c r="H269" s="2"/>
      <c r="O269" s="4"/>
      <c r="P269" s="3"/>
      <c r="R269" s="3"/>
    </row>
    <row r="270" spans="6:18" x14ac:dyDescent="0.25">
      <c r="F270" s="2"/>
      <c r="H270" s="2"/>
      <c r="O270" s="4"/>
      <c r="P270" s="3"/>
      <c r="R270" s="3"/>
    </row>
    <row r="271" spans="6:18" x14ac:dyDescent="0.25">
      <c r="F271" s="2"/>
      <c r="H271" s="2"/>
      <c r="O271" s="4"/>
      <c r="P271" s="3"/>
      <c r="R271" s="3"/>
    </row>
    <row r="272" spans="6:18" x14ac:dyDescent="0.25">
      <c r="F272" s="2"/>
      <c r="H272" s="2"/>
      <c r="O272" s="4"/>
      <c r="P272" s="3"/>
      <c r="R272" s="3"/>
    </row>
    <row r="273" spans="6:18" x14ac:dyDescent="0.25">
      <c r="F273" s="2"/>
      <c r="H273" s="2"/>
      <c r="O273" s="4"/>
      <c r="P273" s="3"/>
      <c r="R273" s="3"/>
    </row>
    <row r="274" spans="6:18" x14ac:dyDescent="0.25">
      <c r="F274" s="2"/>
      <c r="H274" s="2"/>
      <c r="O274" s="4"/>
      <c r="P274" s="3"/>
      <c r="R274" s="3"/>
    </row>
    <row r="275" spans="6:18" x14ac:dyDescent="0.25">
      <c r="F275" s="2"/>
      <c r="H275" s="2"/>
      <c r="O275" s="4"/>
      <c r="P275" s="3"/>
      <c r="R275" s="3"/>
    </row>
    <row r="276" spans="6:18" x14ac:dyDescent="0.25">
      <c r="F276" s="2"/>
      <c r="H276" s="2"/>
      <c r="O276" s="4"/>
      <c r="P276" s="3"/>
      <c r="R276" s="3"/>
    </row>
    <row r="277" spans="6:18" x14ac:dyDescent="0.25">
      <c r="F277" s="2"/>
      <c r="H277" s="2"/>
      <c r="O277" s="4"/>
      <c r="P277" s="3"/>
      <c r="R277" s="3"/>
    </row>
    <row r="278" spans="6:18" x14ac:dyDescent="0.25">
      <c r="F278" s="2"/>
      <c r="H278" s="2"/>
      <c r="O278" s="4"/>
      <c r="P278" s="3"/>
      <c r="R278" s="3"/>
    </row>
    <row r="279" spans="6:18" x14ac:dyDescent="0.25">
      <c r="F279" s="2"/>
      <c r="H279" s="2"/>
      <c r="O279" s="4"/>
      <c r="P279" s="3"/>
      <c r="R279" s="3"/>
    </row>
    <row r="280" spans="6:18" x14ac:dyDescent="0.25">
      <c r="F280" s="2"/>
      <c r="H280" s="2"/>
      <c r="O280" s="4"/>
      <c r="P280" s="3"/>
      <c r="R280" s="3"/>
    </row>
    <row r="281" spans="6:18" x14ac:dyDescent="0.25">
      <c r="F281" s="2"/>
      <c r="H281" s="2"/>
      <c r="O281" s="4"/>
      <c r="P281" s="3"/>
      <c r="R281" s="3"/>
    </row>
    <row r="282" spans="6:18" x14ac:dyDescent="0.25">
      <c r="F282" s="2"/>
      <c r="H282" s="2"/>
      <c r="O282" s="4"/>
      <c r="P282" s="3"/>
      <c r="R282" s="3"/>
    </row>
    <row r="283" spans="6:18" x14ac:dyDescent="0.25">
      <c r="F283" s="2"/>
      <c r="H283" s="2"/>
      <c r="O283" s="4"/>
      <c r="P283" s="3"/>
      <c r="R283" s="3"/>
    </row>
    <row r="284" spans="6:18" x14ac:dyDescent="0.25">
      <c r="F284" s="2"/>
      <c r="H284" s="2"/>
      <c r="O284" s="4"/>
      <c r="P284" s="3"/>
      <c r="R284" s="3"/>
    </row>
    <row r="285" spans="6:18" x14ac:dyDescent="0.25">
      <c r="F285" s="2"/>
      <c r="H285" s="2"/>
      <c r="O285" s="4"/>
      <c r="P285" s="3"/>
      <c r="R285" s="3"/>
    </row>
    <row r="286" spans="6:18" x14ac:dyDescent="0.25">
      <c r="F286" s="2"/>
      <c r="H286" s="2"/>
      <c r="O286" s="4"/>
      <c r="P286" s="3"/>
      <c r="R286" s="3"/>
    </row>
    <row r="287" spans="6:18" x14ac:dyDescent="0.25">
      <c r="F287" s="2"/>
      <c r="H287" s="2"/>
      <c r="O287" s="4"/>
      <c r="P287" s="3"/>
      <c r="R287" s="3"/>
    </row>
    <row r="288" spans="6:18" x14ac:dyDescent="0.25">
      <c r="F288" s="2"/>
      <c r="H288" s="2"/>
      <c r="O288" s="4"/>
      <c r="P288" s="3"/>
      <c r="R288" s="3"/>
    </row>
    <row r="289" spans="6:18" x14ac:dyDescent="0.25">
      <c r="F289" s="2"/>
      <c r="H289" s="2"/>
      <c r="O289" s="4"/>
      <c r="P289" s="3"/>
      <c r="R289" s="3"/>
    </row>
    <row r="290" spans="6:18" x14ac:dyDescent="0.25">
      <c r="F290" s="2"/>
      <c r="H290" s="2"/>
      <c r="O290" s="4"/>
      <c r="P290" s="3"/>
      <c r="R290" s="3"/>
    </row>
    <row r="291" spans="6:18" x14ac:dyDescent="0.25">
      <c r="F291" s="2"/>
      <c r="H291" s="2"/>
      <c r="O291" s="4"/>
      <c r="P291" s="3"/>
      <c r="R291" s="3"/>
    </row>
    <row r="292" spans="6:18" x14ac:dyDescent="0.25">
      <c r="F292" s="2"/>
      <c r="H292" s="2"/>
      <c r="O292" s="4"/>
      <c r="P292" s="3"/>
      <c r="R292" s="3"/>
    </row>
    <row r="293" spans="6:18" x14ac:dyDescent="0.25">
      <c r="F293" s="2"/>
      <c r="H293" s="2"/>
      <c r="O293" s="4"/>
      <c r="P293" s="3"/>
      <c r="R293" s="3"/>
    </row>
    <row r="294" spans="6:18" x14ac:dyDescent="0.25">
      <c r="F294" s="2"/>
      <c r="H294" s="2"/>
      <c r="O294" s="4"/>
      <c r="P294" s="3"/>
      <c r="R294" s="3"/>
    </row>
    <row r="295" spans="6:18" x14ac:dyDescent="0.25">
      <c r="F295" s="2"/>
      <c r="H295" s="2"/>
      <c r="O295" s="4"/>
      <c r="P295" s="3"/>
      <c r="R295" s="3"/>
    </row>
    <row r="296" spans="6:18" x14ac:dyDescent="0.25">
      <c r="F296" s="2"/>
      <c r="H296" s="2"/>
      <c r="O296" s="4"/>
      <c r="P296" s="3"/>
      <c r="R296" s="3"/>
    </row>
    <row r="297" spans="6:18" x14ac:dyDescent="0.25">
      <c r="F297" s="2"/>
      <c r="H297" s="2"/>
      <c r="O297" s="4"/>
      <c r="P297" s="3"/>
      <c r="R297" s="3"/>
    </row>
    <row r="298" spans="6:18" x14ac:dyDescent="0.25">
      <c r="F298" s="2"/>
      <c r="H298" s="2"/>
      <c r="O298" s="4"/>
      <c r="P298" s="3"/>
      <c r="R298" s="3"/>
    </row>
    <row r="299" spans="6:18" x14ac:dyDescent="0.25">
      <c r="F299" s="2"/>
      <c r="H299" s="2"/>
      <c r="O299" s="4"/>
      <c r="P299" s="3"/>
      <c r="R299" s="3"/>
    </row>
    <row r="300" spans="6:18" x14ac:dyDescent="0.25">
      <c r="F300" s="2"/>
      <c r="H300" s="2"/>
      <c r="O300" s="4"/>
      <c r="P300" s="3"/>
      <c r="R300" s="3"/>
    </row>
    <row r="301" spans="6:18" x14ac:dyDescent="0.25">
      <c r="F301" s="2"/>
      <c r="H301" s="2"/>
      <c r="O301" s="4"/>
      <c r="P301" s="3"/>
      <c r="R301" s="3"/>
    </row>
    <row r="302" spans="6:18" x14ac:dyDescent="0.25">
      <c r="F302" s="2"/>
      <c r="H302" s="2"/>
      <c r="O302" s="4"/>
      <c r="P302" s="3"/>
      <c r="R302" s="3"/>
    </row>
    <row r="303" spans="6:18" x14ac:dyDescent="0.25">
      <c r="F303" s="2"/>
      <c r="H303" s="2"/>
      <c r="O303" s="4"/>
      <c r="P303" s="3"/>
      <c r="R303" s="3"/>
    </row>
    <row r="304" spans="6:18" x14ac:dyDescent="0.25">
      <c r="F304" s="2"/>
      <c r="H304" s="2"/>
      <c r="O304" s="4"/>
      <c r="P304" s="3"/>
      <c r="R304" s="3"/>
    </row>
    <row r="305" spans="6:18" x14ac:dyDescent="0.25">
      <c r="F305" s="2"/>
      <c r="H305" s="2"/>
      <c r="O305" s="4"/>
      <c r="P305" s="3"/>
      <c r="R305" s="3"/>
    </row>
    <row r="306" spans="6:18" x14ac:dyDescent="0.25">
      <c r="F306" s="2"/>
      <c r="H306" s="2"/>
      <c r="O306" s="4"/>
      <c r="P306" s="3"/>
      <c r="R306" s="3"/>
    </row>
    <row r="307" spans="6:18" x14ac:dyDescent="0.25">
      <c r="F307" s="2"/>
      <c r="H307" s="2"/>
      <c r="O307" s="4"/>
      <c r="P307" s="3"/>
      <c r="R307" s="3"/>
    </row>
    <row r="308" spans="6:18" x14ac:dyDescent="0.25">
      <c r="F308" s="2"/>
      <c r="H308" s="2"/>
      <c r="O308" s="4"/>
      <c r="P308" s="3"/>
      <c r="R308" s="3"/>
    </row>
    <row r="309" spans="6:18" x14ac:dyDescent="0.25">
      <c r="F309" s="2"/>
      <c r="H309" s="2"/>
      <c r="O309" s="4"/>
      <c r="P309" s="3"/>
      <c r="R309" s="3"/>
    </row>
    <row r="310" spans="6:18" x14ac:dyDescent="0.25">
      <c r="F310" s="2"/>
      <c r="H310" s="2"/>
      <c r="O310" s="4"/>
      <c r="P310" s="3"/>
      <c r="R310" s="3"/>
    </row>
    <row r="311" spans="6:18" x14ac:dyDescent="0.25">
      <c r="F311" s="2"/>
      <c r="H311" s="2"/>
      <c r="O311" s="4"/>
      <c r="P311" s="3"/>
      <c r="R311" s="3"/>
    </row>
    <row r="312" spans="6:18" x14ac:dyDescent="0.25">
      <c r="F312" s="2"/>
      <c r="H312" s="2"/>
      <c r="O312" s="4"/>
      <c r="P312" s="3"/>
      <c r="R312" s="3"/>
    </row>
    <row r="313" spans="6:18" x14ac:dyDescent="0.25">
      <c r="F313" s="2"/>
      <c r="H313" s="2"/>
      <c r="O313" s="4"/>
      <c r="P313" s="3"/>
      <c r="R313" s="3"/>
    </row>
    <row r="314" spans="6:18" x14ac:dyDescent="0.25">
      <c r="F314" s="2"/>
      <c r="H314" s="2"/>
      <c r="O314" s="4"/>
      <c r="P314" s="3"/>
      <c r="R314" s="3"/>
    </row>
    <row r="315" spans="6:18" x14ac:dyDescent="0.25">
      <c r="F315" s="2"/>
      <c r="H315" s="2"/>
      <c r="O315" s="4"/>
      <c r="P315" s="3"/>
      <c r="R315" s="3"/>
    </row>
    <row r="316" spans="6:18" x14ac:dyDescent="0.25">
      <c r="F316" s="2"/>
      <c r="H316" s="2"/>
      <c r="O316" s="4"/>
      <c r="P316" s="3"/>
      <c r="R316" s="3"/>
    </row>
    <row r="317" spans="6:18" x14ac:dyDescent="0.25">
      <c r="F317" s="2"/>
      <c r="H317" s="2"/>
      <c r="O317" s="4"/>
      <c r="P317" s="3"/>
      <c r="R317" s="3"/>
    </row>
    <row r="318" spans="6:18" x14ac:dyDescent="0.25">
      <c r="F318" s="2"/>
      <c r="H318" s="2"/>
      <c r="O318" s="4"/>
      <c r="P318" s="3"/>
      <c r="R318" s="3"/>
    </row>
    <row r="319" spans="6:18" x14ac:dyDescent="0.25">
      <c r="F319" s="2"/>
      <c r="H319" s="2"/>
      <c r="O319" s="4"/>
      <c r="P319" s="3"/>
      <c r="R319" s="3"/>
    </row>
    <row r="320" spans="6:18" x14ac:dyDescent="0.25">
      <c r="F320" s="2"/>
      <c r="H320" s="2"/>
      <c r="O320" s="4"/>
      <c r="P320" s="3"/>
      <c r="R320" s="3"/>
    </row>
    <row r="321" spans="6:18" x14ac:dyDescent="0.25">
      <c r="F321" s="2"/>
      <c r="H321" s="2"/>
      <c r="O321" s="4"/>
      <c r="P321" s="3"/>
      <c r="R321" s="3"/>
    </row>
    <row r="322" spans="6:18" x14ac:dyDescent="0.25">
      <c r="F322" s="2"/>
      <c r="H322" s="2"/>
      <c r="O322" s="4"/>
      <c r="P322" s="3"/>
      <c r="R322" s="3"/>
    </row>
    <row r="323" spans="6:18" x14ac:dyDescent="0.25">
      <c r="F323" s="2"/>
      <c r="H323" s="2"/>
      <c r="O323" s="4"/>
      <c r="P323" s="3"/>
      <c r="R323" s="3"/>
    </row>
    <row r="324" spans="6:18" x14ac:dyDescent="0.25">
      <c r="F324" s="2"/>
      <c r="H324" s="2"/>
      <c r="O324" s="4"/>
      <c r="P324" s="3"/>
      <c r="R324" s="3"/>
    </row>
    <row r="325" spans="6:18" x14ac:dyDescent="0.25">
      <c r="F325" s="2"/>
      <c r="H325" s="2"/>
      <c r="O325" s="4"/>
      <c r="P325" s="3"/>
      <c r="R325" s="3"/>
    </row>
    <row r="326" spans="6:18" x14ac:dyDescent="0.25">
      <c r="F326" s="2"/>
      <c r="H326" s="2"/>
      <c r="O326" s="4"/>
      <c r="P326" s="3"/>
      <c r="R326" s="3"/>
    </row>
    <row r="327" spans="6:18" x14ac:dyDescent="0.25">
      <c r="F327" s="2"/>
      <c r="H327" s="2"/>
      <c r="O327" s="4"/>
      <c r="P327" s="3"/>
      <c r="R327" s="3"/>
    </row>
    <row r="328" spans="6:18" x14ac:dyDescent="0.25">
      <c r="F328" s="2"/>
      <c r="H328" s="2"/>
      <c r="O328" s="4"/>
      <c r="P328" s="3"/>
      <c r="R328" s="3"/>
    </row>
    <row r="329" spans="6:18" x14ac:dyDescent="0.25">
      <c r="F329" s="2"/>
      <c r="H329" s="2"/>
      <c r="O329" s="4"/>
      <c r="P329" s="3"/>
      <c r="R329" s="3"/>
    </row>
    <row r="330" spans="6:18" x14ac:dyDescent="0.25">
      <c r="F330" s="2"/>
      <c r="H330" s="2"/>
      <c r="O330" s="4"/>
      <c r="P330" s="3"/>
      <c r="R330" s="3"/>
    </row>
    <row r="331" spans="6:18" x14ac:dyDescent="0.25">
      <c r="F331" s="2"/>
      <c r="H331" s="2"/>
      <c r="O331" s="4"/>
      <c r="P331" s="3"/>
      <c r="R331" s="3"/>
    </row>
    <row r="332" spans="6:18" x14ac:dyDescent="0.25">
      <c r="F332" s="2"/>
      <c r="H332" s="2"/>
      <c r="O332" s="4"/>
      <c r="P332" s="3"/>
      <c r="R332" s="3"/>
    </row>
    <row r="333" spans="6:18" x14ac:dyDescent="0.25">
      <c r="F333" s="2"/>
      <c r="H333" s="2"/>
      <c r="O333" s="4"/>
      <c r="P333" s="3"/>
      <c r="R333" s="3"/>
    </row>
    <row r="334" spans="6:18" x14ac:dyDescent="0.25">
      <c r="F334" s="2"/>
      <c r="H334" s="2"/>
      <c r="O334" s="4"/>
      <c r="P334" s="3"/>
      <c r="R334" s="3"/>
    </row>
    <row r="335" spans="6:18" x14ac:dyDescent="0.25">
      <c r="F335" s="2"/>
      <c r="H335" s="2"/>
      <c r="O335" s="4"/>
      <c r="P335" s="3"/>
      <c r="R335" s="3"/>
    </row>
    <row r="336" spans="6:18" x14ac:dyDescent="0.25">
      <c r="F336" s="2"/>
      <c r="H336" s="2"/>
      <c r="O336" s="4"/>
      <c r="P336" s="3"/>
      <c r="R336" s="3"/>
    </row>
    <row r="337" spans="6:18" x14ac:dyDescent="0.25">
      <c r="F337" s="2"/>
      <c r="H337" s="2"/>
      <c r="O337" s="4"/>
      <c r="P337" s="3"/>
      <c r="R337" s="3"/>
    </row>
    <row r="338" spans="6:18" x14ac:dyDescent="0.25">
      <c r="F338" s="2"/>
      <c r="H338" s="2"/>
      <c r="O338" s="4"/>
      <c r="P338" s="3"/>
      <c r="R338" s="3"/>
    </row>
    <row r="339" spans="6:18" x14ac:dyDescent="0.25">
      <c r="F339" s="2"/>
      <c r="H339" s="2"/>
      <c r="O339" s="4"/>
      <c r="P339" s="3"/>
      <c r="R339" s="3"/>
    </row>
    <row r="340" spans="6:18" x14ac:dyDescent="0.25">
      <c r="F340" s="2"/>
      <c r="H340" s="2"/>
      <c r="O340" s="4"/>
      <c r="P340" s="3"/>
      <c r="R340" s="3"/>
    </row>
    <row r="341" spans="6:18" x14ac:dyDescent="0.25">
      <c r="F341" s="2"/>
      <c r="H341" s="2"/>
      <c r="O341" s="4"/>
      <c r="P341" s="3"/>
      <c r="R341" s="3"/>
    </row>
    <row r="342" spans="6:18" x14ac:dyDescent="0.25">
      <c r="F342" s="2"/>
      <c r="H342" s="2"/>
      <c r="O342" s="4"/>
      <c r="P342" s="3"/>
      <c r="R342" s="3"/>
    </row>
    <row r="343" spans="6:18" x14ac:dyDescent="0.25">
      <c r="F343" s="2"/>
      <c r="H343" s="2"/>
      <c r="O343" s="4"/>
      <c r="P343" s="3"/>
      <c r="R343" s="3"/>
    </row>
    <row r="344" spans="6:18" x14ac:dyDescent="0.25">
      <c r="F344" s="2"/>
      <c r="H344" s="2"/>
      <c r="O344" s="4"/>
      <c r="P344" s="3"/>
      <c r="R344" s="3"/>
    </row>
    <row r="345" spans="6:18" x14ac:dyDescent="0.25">
      <c r="F345" s="2"/>
      <c r="H345" s="2"/>
      <c r="O345" s="4"/>
      <c r="P345" s="3"/>
      <c r="R345" s="3"/>
    </row>
    <row r="346" spans="6:18" x14ac:dyDescent="0.25">
      <c r="F346" s="2"/>
      <c r="H346" s="2"/>
      <c r="O346" s="4"/>
      <c r="P346" s="3"/>
      <c r="R346" s="3"/>
    </row>
    <row r="347" spans="6:18" x14ac:dyDescent="0.25">
      <c r="F347" s="2"/>
      <c r="H347" s="2"/>
      <c r="O347" s="4"/>
      <c r="P347" s="3"/>
      <c r="R347" s="3"/>
    </row>
    <row r="348" spans="6:18" x14ac:dyDescent="0.25">
      <c r="F348" s="2"/>
      <c r="H348" s="2"/>
      <c r="O348" s="4"/>
      <c r="P348" s="3"/>
      <c r="R348" s="3"/>
    </row>
    <row r="349" spans="6:18" x14ac:dyDescent="0.25">
      <c r="F349" s="2"/>
      <c r="H349" s="2"/>
      <c r="O349" s="4"/>
      <c r="P349" s="3"/>
      <c r="R349" s="3"/>
    </row>
    <row r="350" spans="6:18" x14ac:dyDescent="0.25">
      <c r="F350" s="2"/>
      <c r="H350" s="2"/>
      <c r="O350" s="4"/>
      <c r="P350" s="3"/>
      <c r="R350" s="3"/>
    </row>
    <row r="351" spans="6:18" x14ac:dyDescent="0.25">
      <c r="F351" s="2"/>
      <c r="H351" s="2"/>
      <c r="O351" s="4"/>
      <c r="P351" s="3"/>
      <c r="R351" s="3"/>
    </row>
    <row r="352" spans="6:18" x14ac:dyDescent="0.25">
      <c r="F352" s="2"/>
      <c r="H352" s="2"/>
      <c r="O352" s="4"/>
      <c r="P352" s="3"/>
      <c r="R352" s="3"/>
    </row>
    <row r="353" spans="6:18" x14ac:dyDescent="0.25">
      <c r="F353" s="2"/>
      <c r="H353" s="2"/>
      <c r="O353" s="4"/>
      <c r="P353" s="3"/>
      <c r="R353" s="3"/>
    </row>
    <row r="354" spans="6:18" x14ac:dyDescent="0.25">
      <c r="F354" s="2"/>
      <c r="H354" s="2"/>
      <c r="O354" s="4"/>
      <c r="P354" s="3"/>
      <c r="R354" s="3"/>
    </row>
    <row r="355" spans="6:18" x14ac:dyDescent="0.25">
      <c r="F355" s="2"/>
      <c r="H355" s="2"/>
      <c r="O355" s="4"/>
      <c r="P355" s="3"/>
      <c r="R355" s="3"/>
    </row>
    <row r="356" spans="6:18" x14ac:dyDescent="0.25">
      <c r="F356" s="2"/>
      <c r="H356" s="2"/>
      <c r="O356" s="4"/>
      <c r="P356" s="3"/>
      <c r="R356" s="3"/>
    </row>
    <row r="357" spans="6:18" x14ac:dyDescent="0.25">
      <c r="F357" s="2"/>
      <c r="H357" s="2"/>
      <c r="O357" s="4"/>
      <c r="P357" s="3"/>
      <c r="R357" s="3"/>
    </row>
    <row r="358" spans="6:18" x14ac:dyDescent="0.25">
      <c r="F358" s="2"/>
      <c r="H358" s="2"/>
      <c r="O358" s="4"/>
      <c r="P358" s="3"/>
      <c r="R358" s="3"/>
    </row>
    <row r="359" spans="6:18" x14ac:dyDescent="0.25">
      <c r="F359" s="2"/>
      <c r="H359" s="2"/>
      <c r="O359" s="4"/>
      <c r="P359" s="3"/>
      <c r="R359" s="3"/>
    </row>
    <row r="360" spans="6:18" x14ac:dyDescent="0.25">
      <c r="F360" s="2"/>
      <c r="H360" s="2"/>
      <c r="O360" s="4"/>
      <c r="P360" s="3"/>
      <c r="R360" s="3"/>
    </row>
    <row r="361" spans="6:18" x14ac:dyDescent="0.25">
      <c r="F361" s="2"/>
      <c r="H361" s="2"/>
      <c r="O361" s="4"/>
      <c r="P361" s="3"/>
      <c r="R361" s="3"/>
    </row>
    <row r="362" spans="6:18" x14ac:dyDescent="0.25">
      <c r="F362" s="2"/>
      <c r="H362" s="2"/>
      <c r="O362" s="4"/>
      <c r="P362" s="3"/>
      <c r="R362" s="3"/>
    </row>
    <row r="363" spans="6:18" x14ac:dyDescent="0.25">
      <c r="F363" s="2"/>
      <c r="H363" s="2"/>
      <c r="O363" s="4"/>
      <c r="P363" s="3"/>
      <c r="R363" s="3"/>
    </row>
    <row r="364" spans="6:18" x14ac:dyDescent="0.25">
      <c r="F364" s="2"/>
      <c r="H364" s="2"/>
      <c r="O364" s="4"/>
      <c r="P364" s="3"/>
      <c r="R364" s="3"/>
    </row>
    <row r="365" spans="6:18" x14ac:dyDescent="0.25">
      <c r="F365" s="2"/>
      <c r="H365" s="2"/>
      <c r="O365" s="4"/>
      <c r="P365" s="3"/>
      <c r="R365" s="3"/>
    </row>
    <row r="366" spans="6:18" x14ac:dyDescent="0.25">
      <c r="F366" s="2"/>
      <c r="H366" s="2"/>
      <c r="O366" s="4"/>
      <c r="P366" s="3"/>
      <c r="R366" s="3"/>
    </row>
    <row r="367" spans="6:18" x14ac:dyDescent="0.25">
      <c r="F367" s="2"/>
      <c r="H367" s="2"/>
      <c r="O367" s="4"/>
      <c r="P367" s="3"/>
      <c r="R367" s="3"/>
    </row>
    <row r="368" spans="6:18" x14ac:dyDescent="0.25">
      <c r="F368" s="2"/>
      <c r="H368" s="2"/>
      <c r="O368" s="4"/>
      <c r="P368" s="3"/>
      <c r="R368" s="3"/>
    </row>
    <row r="369" spans="6:18" x14ac:dyDescent="0.25">
      <c r="F369" s="2"/>
      <c r="H369" s="2"/>
      <c r="O369" s="4"/>
      <c r="P369" s="3"/>
      <c r="R369" s="3"/>
    </row>
    <row r="370" spans="6:18" x14ac:dyDescent="0.25">
      <c r="F370" s="2"/>
      <c r="H370" s="2"/>
      <c r="O370" s="4"/>
      <c r="P370" s="3"/>
      <c r="R370" s="3"/>
    </row>
    <row r="371" spans="6:18" x14ac:dyDescent="0.25">
      <c r="F371" s="2"/>
      <c r="H371" s="2"/>
      <c r="O371" s="4"/>
      <c r="P371" s="3"/>
      <c r="R371" s="3"/>
    </row>
    <row r="372" spans="6:18" x14ac:dyDescent="0.25">
      <c r="F372" s="2"/>
      <c r="H372" s="2"/>
      <c r="O372" s="4"/>
      <c r="P372" s="3"/>
      <c r="R372" s="3"/>
    </row>
    <row r="373" spans="6:18" x14ac:dyDescent="0.25">
      <c r="F373" s="2"/>
      <c r="H373" s="2"/>
      <c r="O373" s="4"/>
      <c r="P373" s="3"/>
      <c r="R373" s="3"/>
    </row>
    <row r="374" spans="6:18" x14ac:dyDescent="0.25">
      <c r="F374" s="2"/>
      <c r="H374" s="2"/>
      <c r="O374" s="4"/>
      <c r="P374" s="3"/>
      <c r="R374" s="3"/>
    </row>
    <row r="375" spans="6:18" x14ac:dyDescent="0.25">
      <c r="F375" s="2"/>
      <c r="H375" s="2"/>
      <c r="O375" s="4"/>
      <c r="P375" s="3"/>
      <c r="R375" s="3"/>
    </row>
    <row r="376" spans="6:18" x14ac:dyDescent="0.25">
      <c r="F376" s="2"/>
      <c r="H376" s="2"/>
      <c r="O376" s="4"/>
      <c r="P376" s="3"/>
      <c r="R376" s="3"/>
    </row>
    <row r="377" spans="6:18" x14ac:dyDescent="0.25">
      <c r="F377" s="2"/>
      <c r="H377" s="2"/>
      <c r="O377" s="4"/>
      <c r="P377" s="3"/>
      <c r="R377" s="3"/>
    </row>
    <row r="378" spans="6:18" x14ac:dyDescent="0.25">
      <c r="F378" s="2"/>
      <c r="H378" s="2"/>
      <c r="O378" s="4"/>
      <c r="P378" s="3"/>
      <c r="R378" s="3"/>
    </row>
    <row r="379" spans="6:18" x14ac:dyDescent="0.25">
      <c r="F379" s="2"/>
      <c r="H379" s="2"/>
      <c r="O379" s="4"/>
      <c r="P379" s="3"/>
      <c r="R379" s="3"/>
    </row>
    <row r="380" spans="6:18" x14ac:dyDescent="0.25">
      <c r="F380" s="2"/>
      <c r="H380" s="2"/>
      <c r="O380" s="4"/>
      <c r="P380" s="3"/>
      <c r="R380" s="3"/>
    </row>
    <row r="381" spans="6:18" x14ac:dyDescent="0.25">
      <c r="F381" s="2"/>
      <c r="H381" s="2"/>
      <c r="O381" s="4"/>
      <c r="P381" s="3"/>
      <c r="R381" s="3"/>
    </row>
    <row r="382" spans="6:18" x14ac:dyDescent="0.25">
      <c r="F382" s="2"/>
      <c r="H382" s="2"/>
      <c r="O382" s="4"/>
      <c r="P382" s="3"/>
      <c r="R382" s="3"/>
    </row>
    <row r="383" spans="6:18" x14ac:dyDescent="0.25">
      <c r="F383" s="2"/>
      <c r="H383" s="2"/>
      <c r="O383" s="4"/>
      <c r="P383" s="3"/>
      <c r="R383" s="3"/>
    </row>
    <row r="384" spans="6:18" x14ac:dyDescent="0.25">
      <c r="F384" s="2"/>
      <c r="H384" s="2"/>
      <c r="O384" s="4"/>
      <c r="P384" s="3"/>
      <c r="R384" s="3"/>
    </row>
    <row r="385" spans="6:18" x14ac:dyDescent="0.25">
      <c r="F385" s="2"/>
      <c r="H385" s="2"/>
      <c r="O385" s="4"/>
      <c r="P385" s="3"/>
      <c r="R385" s="3"/>
    </row>
    <row r="386" spans="6:18" x14ac:dyDescent="0.25">
      <c r="F386" s="2"/>
      <c r="H386" s="2"/>
      <c r="O386" s="4"/>
      <c r="P386" s="3"/>
      <c r="R386" s="3"/>
    </row>
    <row r="387" spans="6:18" x14ac:dyDescent="0.25">
      <c r="F387" s="2"/>
      <c r="H387" s="2"/>
      <c r="O387" s="4"/>
      <c r="P387" s="3"/>
      <c r="R387" s="3"/>
    </row>
    <row r="388" spans="6:18" x14ac:dyDescent="0.25">
      <c r="F388" s="2"/>
      <c r="H388" s="2"/>
      <c r="O388" s="4"/>
      <c r="P388" s="3"/>
      <c r="R388" s="3"/>
    </row>
    <row r="389" spans="6:18" x14ac:dyDescent="0.25">
      <c r="F389" s="2"/>
      <c r="H389" s="2"/>
      <c r="O389" s="4"/>
      <c r="P389" s="3"/>
      <c r="R389" s="3"/>
    </row>
    <row r="390" spans="6:18" x14ac:dyDescent="0.25">
      <c r="F390" s="2"/>
      <c r="H390" s="2"/>
      <c r="O390" s="4"/>
      <c r="P390" s="3"/>
      <c r="R390" s="3"/>
    </row>
    <row r="391" spans="6:18" x14ac:dyDescent="0.25">
      <c r="F391" s="2"/>
      <c r="H391" s="2"/>
      <c r="O391" s="4"/>
      <c r="P391" s="3"/>
      <c r="R391" s="3"/>
    </row>
    <row r="392" spans="6:18" x14ac:dyDescent="0.25">
      <c r="F392" s="2"/>
      <c r="H392" s="2"/>
      <c r="O392" s="4"/>
      <c r="P392" s="3"/>
      <c r="R392" s="3"/>
    </row>
    <row r="393" spans="6:18" x14ac:dyDescent="0.25">
      <c r="F393" s="2"/>
      <c r="H393" s="2"/>
      <c r="O393" s="4"/>
      <c r="P393" s="3"/>
      <c r="R393" s="3"/>
    </row>
    <row r="394" spans="6:18" x14ac:dyDescent="0.25">
      <c r="F394" s="2"/>
      <c r="H394" s="2"/>
      <c r="O394" s="4"/>
      <c r="P394" s="3"/>
      <c r="R394" s="3"/>
    </row>
    <row r="395" spans="6:18" x14ac:dyDescent="0.25">
      <c r="F395" s="2"/>
      <c r="H395" s="2"/>
      <c r="O395" s="4"/>
      <c r="P395" s="3"/>
      <c r="R395" s="3"/>
    </row>
    <row r="396" spans="6:18" x14ac:dyDescent="0.25">
      <c r="F396" s="2"/>
      <c r="H396" s="2"/>
      <c r="O396" s="4"/>
      <c r="P396" s="3"/>
      <c r="R396" s="3"/>
    </row>
    <row r="397" spans="6:18" x14ac:dyDescent="0.25">
      <c r="F397" s="2"/>
      <c r="H397" s="2"/>
      <c r="O397" s="4"/>
      <c r="P397" s="3"/>
      <c r="R397" s="3"/>
    </row>
    <row r="398" spans="6:18" x14ac:dyDescent="0.25">
      <c r="F398" s="2"/>
      <c r="H398" s="2"/>
      <c r="O398" s="4"/>
      <c r="P398" s="3"/>
      <c r="R398" s="3"/>
    </row>
    <row r="399" spans="6:18" x14ac:dyDescent="0.25">
      <c r="F399" s="2"/>
      <c r="H399" s="2"/>
      <c r="O399" s="4"/>
      <c r="P399" s="3"/>
      <c r="R399" s="3"/>
    </row>
    <row r="400" spans="6:18" x14ac:dyDescent="0.25">
      <c r="F400" s="2"/>
      <c r="H400" s="2"/>
      <c r="O400" s="4"/>
      <c r="P400" s="3"/>
      <c r="R400" s="3"/>
    </row>
    <row r="401" spans="6:18" x14ac:dyDescent="0.25">
      <c r="F401" s="2"/>
      <c r="H401" s="2"/>
      <c r="O401" s="4"/>
      <c r="P401" s="3"/>
      <c r="R401" s="3"/>
    </row>
    <row r="402" spans="6:18" x14ac:dyDescent="0.25">
      <c r="F402" s="2"/>
      <c r="H402" s="2"/>
      <c r="O402" s="4"/>
      <c r="P402" s="3"/>
      <c r="R402" s="3"/>
    </row>
    <row r="403" spans="6:18" x14ac:dyDescent="0.25">
      <c r="F403" s="2"/>
      <c r="H403" s="2"/>
      <c r="O403" s="4"/>
      <c r="P403" s="3"/>
      <c r="R403" s="3"/>
    </row>
    <row r="404" spans="6:18" x14ac:dyDescent="0.25">
      <c r="F404" s="2"/>
      <c r="H404" s="2"/>
      <c r="O404" s="4"/>
      <c r="P404" s="3"/>
      <c r="R404" s="3"/>
    </row>
    <row r="405" spans="6:18" x14ac:dyDescent="0.25">
      <c r="F405" s="2"/>
      <c r="H405" s="2"/>
      <c r="O405" s="4"/>
      <c r="P405" s="3"/>
      <c r="R405" s="3"/>
    </row>
    <row r="406" spans="6:18" x14ac:dyDescent="0.25">
      <c r="F406" s="2"/>
      <c r="H406" s="2"/>
      <c r="O406" s="4"/>
      <c r="P406" s="3"/>
      <c r="R406" s="3"/>
    </row>
    <row r="407" spans="6:18" x14ac:dyDescent="0.25">
      <c r="F407" s="2"/>
      <c r="H407" s="2"/>
      <c r="O407" s="4"/>
      <c r="P407" s="3"/>
      <c r="R407" s="3"/>
    </row>
    <row r="408" spans="6:18" x14ac:dyDescent="0.25">
      <c r="F408" s="2"/>
      <c r="H408" s="2"/>
      <c r="O408" s="4"/>
      <c r="P408" s="3"/>
      <c r="R408" s="3"/>
    </row>
    <row r="409" spans="6:18" x14ac:dyDescent="0.25">
      <c r="F409" s="2"/>
      <c r="H409" s="2"/>
      <c r="O409" s="4"/>
      <c r="P409" s="3"/>
      <c r="R409" s="3"/>
    </row>
    <row r="410" spans="6:18" x14ac:dyDescent="0.25">
      <c r="F410" s="2"/>
      <c r="H410" s="2"/>
      <c r="O410" s="4"/>
      <c r="P410" s="3"/>
      <c r="R410" s="3"/>
    </row>
    <row r="411" spans="6:18" x14ac:dyDescent="0.25">
      <c r="F411" s="2"/>
      <c r="H411" s="2"/>
      <c r="O411" s="4"/>
      <c r="P411" s="3"/>
      <c r="R411" s="3"/>
    </row>
    <row r="412" spans="6:18" x14ac:dyDescent="0.25">
      <c r="F412" s="2"/>
      <c r="H412" s="2"/>
      <c r="O412" s="4"/>
      <c r="P412" s="3"/>
      <c r="R412" s="3"/>
    </row>
    <row r="413" spans="6:18" x14ac:dyDescent="0.25">
      <c r="F413" s="2"/>
      <c r="H413" s="2"/>
      <c r="O413" s="4"/>
      <c r="P413" s="3"/>
      <c r="R413" s="3"/>
    </row>
    <row r="414" spans="6:18" x14ac:dyDescent="0.25">
      <c r="F414" s="2"/>
      <c r="H414" s="2"/>
      <c r="O414" s="4"/>
      <c r="P414" s="3"/>
      <c r="R414" s="3"/>
    </row>
    <row r="415" spans="6:18" x14ac:dyDescent="0.25">
      <c r="F415" s="2"/>
      <c r="H415" s="2"/>
      <c r="O415" s="4"/>
      <c r="P415" s="3"/>
      <c r="R415" s="3"/>
    </row>
    <row r="416" spans="6:18" x14ac:dyDescent="0.25">
      <c r="F416" s="2"/>
      <c r="H416" s="2"/>
      <c r="O416" s="4"/>
      <c r="P416" s="3"/>
      <c r="R416" s="3"/>
    </row>
    <row r="417" spans="6:18" x14ac:dyDescent="0.25">
      <c r="F417" s="2"/>
      <c r="H417" s="2"/>
      <c r="O417" s="4"/>
      <c r="P417" s="3"/>
      <c r="R417" s="3"/>
    </row>
    <row r="418" spans="6:18" x14ac:dyDescent="0.25">
      <c r="F418" s="2"/>
      <c r="H418" s="2"/>
      <c r="O418" s="4"/>
      <c r="P418" s="3"/>
      <c r="R418" s="3"/>
    </row>
    <row r="419" spans="6:18" x14ac:dyDescent="0.25">
      <c r="F419" s="2"/>
      <c r="H419" s="2"/>
      <c r="O419" s="4"/>
      <c r="P419" s="3"/>
      <c r="R419" s="3"/>
    </row>
    <row r="420" spans="6:18" x14ac:dyDescent="0.25">
      <c r="F420" s="2"/>
      <c r="H420" s="2"/>
      <c r="O420" s="4"/>
      <c r="P420" s="3"/>
      <c r="R420" s="3"/>
    </row>
    <row r="421" spans="6:18" x14ac:dyDescent="0.25">
      <c r="F421" s="2"/>
      <c r="H421" s="2"/>
      <c r="O421" s="4"/>
      <c r="P421" s="3"/>
      <c r="R421" s="3"/>
    </row>
    <row r="422" spans="6:18" x14ac:dyDescent="0.25">
      <c r="F422" s="2"/>
      <c r="H422" s="2"/>
      <c r="O422" s="4"/>
      <c r="P422" s="3"/>
      <c r="R422" s="3"/>
    </row>
    <row r="423" spans="6:18" x14ac:dyDescent="0.25">
      <c r="F423" s="2"/>
      <c r="H423" s="2"/>
      <c r="O423" s="4"/>
      <c r="P423" s="3"/>
      <c r="R423" s="3"/>
    </row>
    <row r="424" spans="6:18" x14ac:dyDescent="0.25">
      <c r="F424" s="2"/>
      <c r="H424" s="2"/>
      <c r="O424" s="4"/>
      <c r="P424" s="3"/>
      <c r="R424" s="3"/>
    </row>
    <row r="425" spans="6:18" x14ac:dyDescent="0.25">
      <c r="F425" s="2"/>
      <c r="H425" s="2"/>
      <c r="O425" s="4"/>
      <c r="P425" s="3"/>
      <c r="R425" s="3"/>
    </row>
    <row r="426" spans="6:18" x14ac:dyDescent="0.25">
      <c r="F426" s="2"/>
      <c r="H426" s="2"/>
      <c r="O426" s="4"/>
      <c r="P426" s="3"/>
      <c r="R426" s="3"/>
    </row>
    <row r="427" spans="6:18" x14ac:dyDescent="0.25">
      <c r="F427" s="2"/>
      <c r="H427" s="2"/>
      <c r="O427" s="4"/>
      <c r="P427" s="3"/>
      <c r="R427" s="3"/>
    </row>
    <row r="428" spans="6:18" x14ac:dyDescent="0.25">
      <c r="F428" s="2"/>
      <c r="H428" s="2"/>
      <c r="O428" s="4"/>
      <c r="P428" s="3"/>
      <c r="R428" s="3"/>
    </row>
    <row r="429" spans="6:18" x14ac:dyDescent="0.25">
      <c r="F429" s="2"/>
      <c r="H429" s="2"/>
      <c r="O429" s="4"/>
      <c r="P429" s="3"/>
      <c r="R429" s="3"/>
    </row>
    <row r="430" spans="6:18" x14ac:dyDescent="0.25">
      <c r="F430" s="2"/>
      <c r="H430" s="2"/>
      <c r="O430" s="4"/>
      <c r="P430" s="3"/>
      <c r="R430" s="3"/>
    </row>
    <row r="431" spans="6:18" x14ac:dyDescent="0.25">
      <c r="F431" s="2"/>
      <c r="H431" s="2"/>
      <c r="O431" s="4"/>
      <c r="P431" s="3"/>
      <c r="R431" s="3"/>
    </row>
    <row r="432" spans="6:18" x14ac:dyDescent="0.25">
      <c r="F432" s="2"/>
      <c r="H432" s="2"/>
      <c r="O432" s="4"/>
      <c r="P432" s="3"/>
      <c r="R432" s="3"/>
    </row>
    <row r="433" spans="6:18" x14ac:dyDescent="0.25">
      <c r="F433" s="2"/>
      <c r="H433" s="2"/>
      <c r="O433" s="4"/>
      <c r="P433" s="3"/>
      <c r="R433" s="3"/>
    </row>
    <row r="434" spans="6:18" x14ac:dyDescent="0.25">
      <c r="F434" s="2"/>
      <c r="H434" s="2"/>
      <c r="O434" s="4"/>
      <c r="P434" s="3"/>
      <c r="R434" s="3"/>
    </row>
    <row r="435" spans="6:18" x14ac:dyDescent="0.25">
      <c r="F435" s="2"/>
      <c r="H435" s="2"/>
      <c r="O435" s="4"/>
      <c r="P435" s="3"/>
      <c r="R435" s="3"/>
    </row>
    <row r="436" spans="6:18" x14ac:dyDescent="0.25">
      <c r="F436" s="2"/>
      <c r="H436" s="2"/>
      <c r="O436" s="4"/>
      <c r="P436" s="3"/>
      <c r="R436" s="3"/>
    </row>
    <row r="437" spans="6:18" x14ac:dyDescent="0.25">
      <c r="F437" s="2"/>
      <c r="H437" s="2"/>
      <c r="O437" s="4"/>
      <c r="P437" s="3"/>
      <c r="R437" s="3"/>
    </row>
    <row r="438" spans="6:18" x14ac:dyDescent="0.25">
      <c r="F438" s="2"/>
      <c r="H438" s="2"/>
      <c r="O438" s="4"/>
      <c r="P438" s="3"/>
      <c r="R438" s="3"/>
    </row>
    <row r="439" spans="6:18" x14ac:dyDescent="0.25">
      <c r="F439" s="2"/>
      <c r="H439" s="2"/>
      <c r="O439" s="4"/>
      <c r="P439" s="3"/>
      <c r="R439" s="3"/>
    </row>
    <row r="440" spans="6:18" x14ac:dyDescent="0.25">
      <c r="F440" s="2"/>
      <c r="H440" s="2"/>
      <c r="O440" s="4"/>
      <c r="P440" s="3"/>
      <c r="R440" s="3"/>
    </row>
    <row r="441" spans="6:18" x14ac:dyDescent="0.25">
      <c r="F441" s="2"/>
      <c r="H441" s="2"/>
      <c r="O441" s="4"/>
      <c r="P441" s="3"/>
      <c r="R441" s="3"/>
    </row>
    <row r="442" spans="6:18" x14ac:dyDescent="0.25">
      <c r="F442" s="2"/>
      <c r="H442" s="2"/>
      <c r="O442" s="4"/>
      <c r="P442" s="3"/>
      <c r="R442" s="3"/>
    </row>
    <row r="443" spans="6:18" x14ac:dyDescent="0.25">
      <c r="F443" s="2"/>
      <c r="H443" s="2"/>
      <c r="O443" s="4"/>
      <c r="P443" s="3"/>
      <c r="R443" s="3"/>
    </row>
    <row r="444" spans="6:18" x14ac:dyDescent="0.25">
      <c r="F444" s="2"/>
      <c r="H444" s="2"/>
      <c r="O444" s="4"/>
      <c r="P444" s="3"/>
      <c r="R444" s="3"/>
    </row>
    <row r="445" spans="6:18" x14ac:dyDescent="0.25">
      <c r="F445" s="2"/>
      <c r="H445" s="2"/>
      <c r="O445" s="4"/>
      <c r="P445" s="3"/>
      <c r="R445" s="3"/>
    </row>
    <row r="446" spans="6:18" x14ac:dyDescent="0.25">
      <c r="F446" s="2"/>
      <c r="H446" s="2"/>
      <c r="O446" s="4"/>
      <c r="P446" s="3"/>
      <c r="R446" s="3"/>
    </row>
    <row r="447" spans="6:18" x14ac:dyDescent="0.25">
      <c r="F447" s="2"/>
      <c r="H447" s="2"/>
      <c r="O447" s="4"/>
      <c r="P447" s="3"/>
      <c r="R447" s="3"/>
    </row>
    <row r="448" spans="6:18" x14ac:dyDescent="0.25">
      <c r="F448" s="2"/>
      <c r="H448" s="2"/>
      <c r="O448" s="4"/>
      <c r="P448" s="3"/>
      <c r="R448" s="3"/>
    </row>
    <row r="449" spans="6:18" x14ac:dyDescent="0.25">
      <c r="F449" s="2"/>
      <c r="H449" s="2"/>
      <c r="O449" s="4"/>
      <c r="P449" s="3"/>
      <c r="R449" s="3"/>
    </row>
    <row r="450" spans="6:18" x14ac:dyDescent="0.25">
      <c r="F450" s="2"/>
      <c r="H450" s="2"/>
      <c r="O450" s="4"/>
      <c r="P450" s="3"/>
      <c r="R450" s="3"/>
    </row>
    <row r="451" spans="6:18" x14ac:dyDescent="0.25">
      <c r="F451" s="2"/>
      <c r="H451" s="2"/>
      <c r="O451" s="4"/>
      <c r="P451" s="3"/>
      <c r="R451" s="3"/>
    </row>
    <row r="452" spans="6:18" x14ac:dyDescent="0.25">
      <c r="F452" s="2"/>
      <c r="H452" s="2"/>
      <c r="O452" s="4"/>
      <c r="P452" s="3"/>
      <c r="R452" s="3"/>
    </row>
    <row r="453" spans="6:18" x14ac:dyDescent="0.25">
      <c r="F453" s="2"/>
      <c r="H453" s="2"/>
      <c r="O453" s="4"/>
      <c r="P453" s="3"/>
      <c r="R453" s="3"/>
    </row>
    <row r="454" spans="6:18" x14ac:dyDescent="0.25">
      <c r="F454" s="2"/>
      <c r="H454" s="2"/>
      <c r="O454" s="4"/>
      <c r="P454" s="3"/>
      <c r="R454" s="3"/>
    </row>
    <row r="455" spans="6:18" x14ac:dyDescent="0.25">
      <c r="F455" s="2"/>
      <c r="H455" s="2"/>
      <c r="O455" s="4"/>
      <c r="P455" s="3"/>
      <c r="R455" s="3"/>
    </row>
    <row r="456" spans="6:18" x14ac:dyDescent="0.25">
      <c r="F456" s="2"/>
      <c r="H456" s="2"/>
      <c r="O456" s="4"/>
      <c r="P456" s="3"/>
      <c r="R456" s="3"/>
    </row>
    <row r="457" spans="6:18" x14ac:dyDescent="0.25">
      <c r="F457" s="2"/>
      <c r="H457" s="2"/>
      <c r="O457" s="4"/>
      <c r="P457" s="3"/>
      <c r="R457" s="3"/>
    </row>
    <row r="458" spans="6:18" x14ac:dyDescent="0.25">
      <c r="F458" s="2"/>
      <c r="H458" s="2"/>
      <c r="O458" s="4"/>
      <c r="P458" s="3"/>
      <c r="R458" s="3"/>
    </row>
    <row r="459" spans="6:18" x14ac:dyDescent="0.25">
      <c r="F459" s="2"/>
      <c r="H459" s="2"/>
      <c r="O459" s="4"/>
      <c r="P459" s="3"/>
      <c r="R459" s="3"/>
    </row>
    <row r="460" spans="6:18" x14ac:dyDescent="0.25">
      <c r="F460" s="2"/>
      <c r="H460" s="2"/>
      <c r="O460" s="4"/>
      <c r="P460" s="3"/>
      <c r="R460" s="3"/>
    </row>
    <row r="461" spans="6:18" x14ac:dyDescent="0.25">
      <c r="F461" s="2"/>
      <c r="H461" s="2"/>
      <c r="O461" s="4"/>
      <c r="P461" s="3"/>
      <c r="R461" s="3"/>
    </row>
    <row r="462" spans="6:18" x14ac:dyDescent="0.25">
      <c r="F462" s="2"/>
      <c r="H462" s="2"/>
      <c r="O462" s="4"/>
      <c r="P462" s="3"/>
      <c r="R462" s="3"/>
    </row>
    <row r="463" spans="6:18" x14ac:dyDescent="0.25">
      <c r="F463" s="2"/>
      <c r="H463" s="2"/>
      <c r="O463" s="4"/>
      <c r="P463" s="3"/>
      <c r="R463" s="3"/>
    </row>
    <row r="464" spans="6:18" x14ac:dyDescent="0.25">
      <c r="F464" s="2"/>
      <c r="H464" s="2"/>
      <c r="O464" s="4"/>
      <c r="P464" s="3"/>
      <c r="R464" s="3"/>
    </row>
    <row r="465" spans="6:18" x14ac:dyDescent="0.25">
      <c r="F465" s="2"/>
      <c r="H465" s="2"/>
      <c r="O465" s="4"/>
      <c r="P465" s="3"/>
      <c r="R465" s="3"/>
    </row>
    <row r="466" spans="6:18" x14ac:dyDescent="0.25">
      <c r="F466" s="2"/>
      <c r="H466" s="2"/>
      <c r="O466" s="4"/>
      <c r="P466" s="3"/>
      <c r="R466" s="3"/>
    </row>
    <row r="467" spans="6:18" x14ac:dyDescent="0.25">
      <c r="F467" s="2"/>
      <c r="H467" s="2"/>
      <c r="O467" s="4"/>
      <c r="P467" s="3"/>
      <c r="R467" s="3"/>
    </row>
    <row r="468" spans="6:18" x14ac:dyDescent="0.25">
      <c r="F468" s="2"/>
      <c r="H468" s="2"/>
      <c r="O468" s="4"/>
      <c r="P468" s="3"/>
      <c r="R468" s="3"/>
    </row>
    <row r="469" spans="6:18" x14ac:dyDescent="0.25">
      <c r="F469" s="2"/>
      <c r="H469" s="2"/>
      <c r="O469" s="4"/>
      <c r="P469" s="3"/>
      <c r="R469" s="3"/>
    </row>
    <row r="470" spans="6:18" x14ac:dyDescent="0.25">
      <c r="F470" s="2"/>
      <c r="H470" s="2"/>
      <c r="O470" s="4"/>
      <c r="P470" s="3"/>
      <c r="R470" s="3"/>
    </row>
    <row r="471" spans="6:18" x14ac:dyDescent="0.25">
      <c r="F471" s="2"/>
      <c r="H471" s="2"/>
      <c r="O471" s="4"/>
      <c r="P471" s="3"/>
      <c r="R471" s="3"/>
    </row>
    <row r="472" spans="6:18" x14ac:dyDescent="0.25">
      <c r="F472" s="2"/>
      <c r="H472" s="2"/>
      <c r="O472" s="4"/>
      <c r="P472" s="3"/>
      <c r="R472" s="3"/>
    </row>
    <row r="473" spans="6:18" x14ac:dyDescent="0.25">
      <c r="F473" s="2"/>
      <c r="H473" s="2"/>
      <c r="O473" s="4"/>
      <c r="P473" s="3"/>
      <c r="R473" s="3"/>
    </row>
    <row r="474" spans="6:18" x14ac:dyDescent="0.25">
      <c r="F474" s="2"/>
      <c r="H474" s="2"/>
      <c r="O474" s="4"/>
      <c r="P474" s="3"/>
      <c r="R474" s="3"/>
    </row>
    <row r="475" spans="6:18" x14ac:dyDescent="0.25">
      <c r="F475" s="2"/>
      <c r="H475" s="2"/>
      <c r="O475" s="4"/>
      <c r="P475" s="3"/>
      <c r="R475" s="3"/>
    </row>
    <row r="476" spans="6:18" x14ac:dyDescent="0.25">
      <c r="F476" s="2"/>
      <c r="H476" s="2"/>
      <c r="O476" s="4"/>
      <c r="P476" s="3"/>
      <c r="R476" s="3"/>
    </row>
    <row r="477" spans="6:18" x14ac:dyDescent="0.25">
      <c r="F477" s="2"/>
      <c r="H477" s="2"/>
      <c r="O477" s="4"/>
      <c r="P477" s="3"/>
      <c r="R477" s="3"/>
    </row>
    <row r="478" spans="6:18" x14ac:dyDescent="0.25">
      <c r="F478" s="2"/>
      <c r="H478" s="2"/>
      <c r="O478" s="4"/>
      <c r="P478" s="3"/>
      <c r="R478" s="3"/>
    </row>
    <row r="479" spans="6:18" x14ac:dyDescent="0.25">
      <c r="F479" s="2"/>
      <c r="H479" s="2"/>
      <c r="O479" s="4"/>
      <c r="P479" s="3"/>
      <c r="R479" s="3"/>
    </row>
    <row r="480" spans="6:18" x14ac:dyDescent="0.25">
      <c r="F480" s="2"/>
      <c r="H480" s="2"/>
      <c r="O480" s="4"/>
      <c r="P480" s="3"/>
      <c r="R480" s="3"/>
    </row>
    <row r="481" spans="6:18" x14ac:dyDescent="0.25">
      <c r="F481" s="2"/>
      <c r="H481" s="2"/>
      <c r="O481" s="4"/>
      <c r="P481" s="3"/>
      <c r="R481" s="3"/>
    </row>
    <row r="482" spans="6:18" x14ac:dyDescent="0.25">
      <c r="F482" s="2"/>
      <c r="H482" s="2"/>
      <c r="O482" s="4"/>
      <c r="P482" s="3"/>
      <c r="R482" s="3"/>
    </row>
    <row r="483" spans="6:18" x14ac:dyDescent="0.25">
      <c r="F483" s="2"/>
      <c r="H483" s="2"/>
      <c r="O483" s="4"/>
      <c r="P483" s="3"/>
      <c r="R483" s="3"/>
    </row>
    <row r="484" spans="6:18" x14ac:dyDescent="0.25">
      <c r="F484" s="2"/>
      <c r="H484" s="2"/>
      <c r="O484" s="4"/>
      <c r="P484" s="3"/>
      <c r="R484" s="3"/>
    </row>
    <row r="485" spans="6:18" x14ac:dyDescent="0.25">
      <c r="F485" s="2"/>
      <c r="H485" s="2"/>
      <c r="O485" s="4"/>
      <c r="P485" s="3"/>
      <c r="R485" s="3"/>
    </row>
    <row r="486" spans="6:18" x14ac:dyDescent="0.25">
      <c r="F486" s="2"/>
      <c r="H486" s="2"/>
      <c r="O486" s="4"/>
      <c r="P486" s="3"/>
      <c r="R486" s="3"/>
    </row>
    <row r="487" spans="6:18" x14ac:dyDescent="0.25">
      <c r="F487" s="2"/>
      <c r="H487" s="2"/>
      <c r="O487" s="4"/>
      <c r="P487" s="3"/>
      <c r="R487" s="3"/>
    </row>
    <row r="488" spans="6:18" x14ac:dyDescent="0.25">
      <c r="F488" s="2"/>
      <c r="H488" s="2"/>
      <c r="O488" s="4"/>
      <c r="P488" s="3"/>
      <c r="R488" s="3"/>
    </row>
    <row r="489" spans="6:18" x14ac:dyDescent="0.25">
      <c r="F489" s="2"/>
      <c r="H489" s="2"/>
      <c r="O489" s="4"/>
      <c r="P489" s="3"/>
      <c r="R489" s="3"/>
    </row>
    <row r="490" spans="6:18" x14ac:dyDescent="0.25">
      <c r="F490" s="2"/>
      <c r="H490" s="2"/>
      <c r="O490" s="4"/>
      <c r="P490" s="3"/>
      <c r="R490" s="3"/>
    </row>
    <row r="491" spans="6:18" x14ac:dyDescent="0.25">
      <c r="F491" s="2"/>
      <c r="H491" s="2"/>
      <c r="O491" s="4"/>
      <c r="P491" s="3"/>
      <c r="R491" s="3"/>
    </row>
    <row r="492" spans="6:18" x14ac:dyDescent="0.25">
      <c r="F492" s="2"/>
      <c r="H492" s="2"/>
      <c r="O492" s="4"/>
      <c r="P492" s="3"/>
      <c r="R492" s="3"/>
    </row>
    <row r="493" spans="6:18" x14ac:dyDescent="0.25">
      <c r="F493" s="2"/>
      <c r="H493" s="2"/>
      <c r="O493" s="4"/>
      <c r="P493" s="3"/>
      <c r="R493" s="3"/>
    </row>
    <row r="494" spans="6:18" x14ac:dyDescent="0.25">
      <c r="F494" s="2"/>
      <c r="H494" s="2"/>
      <c r="O494" s="4"/>
      <c r="P494" s="3"/>
      <c r="R494" s="3"/>
    </row>
    <row r="495" spans="6:18" x14ac:dyDescent="0.25">
      <c r="F495" s="2"/>
      <c r="H495" s="2"/>
      <c r="O495" s="4"/>
      <c r="P495" s="3"/>
      <c r="R495" s="3"/>
    </row>
    <row r="496" spans="6:18" x14ac:dyDescent="0.25">
      <c r="F496" s="2"/>
      <c r="H496" s="2"/>
      <c r="O496" s="4"/>
      <c r="P496" s="3"/>
      <c r="R496" s="3"/>
    </row>
    <row r="497" spans="6:18" x14ac:dyDescent="0.25">
      <c r="F497" s="2"/>
      <c r="H497" s="2"/>
      <c r="O497" s="4"/>
      <c r="P497" s="3"/>
      <c r="R497" s="3"/>
    </row>
    <row r="498" spans="6:18" x14ac:dyDescent="0.25">
      <c r="F498" s="2"/>
      <c r="H498" s="2"/>
      <c r="O498" s="4"/>
      <c r="P498" s="3"/>
      <c r="R498" s="3"/>
    </row>
    <row r="499" spans="6:18" x14ac:dyDescent="0.25">
      <c r="F499" s="2"/>
      <c r="H499" s="2"/>
      <c r="O499" s="4"/>
      <c r="P499" s="3"/>
      <c r="R499" s="3"/>
    </row>
    <row r="500" spans="6:18" x14ac:dyDescent="0.25">
      <c r="F500" s="2"/>
      <c r="H500" s="2"/>
      <c r="O500" s="4"/>
      <c r="P500" s="3"/>
      <c r="R500" s="3"/>
    </row>
    <row r="501" spans="6:18" x14ac:dyDescent="0.25">
      <c r="F501" s="2"/>
      <c r="H501" s="2"/>
      <c r="O501" s="4"/>
      <c r="P501" s="3"/>
      <c r="R501" s="3"/>
    </row>
    <row r="502" spans="6:18" x14ac:dyDescent="0.25">
      <c r="F502" s="2"/>
      <c r="H502" s="2"/>
      <c r="O502" s="4"/>
      <c r="P502" s="3"/>
      <c r="R502" s="3"/>
    </row>
    <row r="503" spans="6:18" x14ac:dyDescent="0.25">
      <c r="F503" s="2"/>
      <c r="H503" s="2"/>
      <c r="O503" s="4"/>
      <c r="P503" s="3"/>
      <c r="R503" s="3"/>
    </row>
    <row r="504" spans="6:18" x14ac:dyDescent="0.25">
      <c r="F504" s="2"/>
      <c r="H504" s="2"/>
      <c r="O504" s="4"/>
      <c r="P504" s="3"/>
      <c r="R504" s="3"/>
    </row>
    <row r="505" spans="6:18" x14ac:dyDescent="0.25">
      <c r="F505" s="2"/>
      <c r="H505" s="2"/>
      <c r="O505" s="4"/>
      <c r="P505" s="3"/>
      <c r="R505" s="3"/>
    </row>
    <row r="506" spans="6:18" x14ac:dyDescent="0.25">
      <c r="F506" s="2"/>
      <c r="H506" s="2"/>
      <c r="O506" s="4"/>
      <c r="P506" s="3"/>
      <c r="R506" s="3"/>
    </row>
    <row r="507" spans="6:18" x14ac:dyDescent="0.25">
      <c r="F507" s="2"/>
      <c r="H507" s="2"/>
      <c r="O507" s="4"/>
      <c r="P507" s="3"/>
      <c r="R507" s="3"/>
    </row>
    <row r="508" spans="6:18" x14ac:dyDescent="0.25">
      <c r="F508" s="2"/>
      <c r="H508" s="2"/>
      <c r="O508" s="4"/>
      <c r="P508" s="3"/>
      <c r="R508" s="3"/>
    </row>
    <row r="509" spans="6:18" x14ac:dyDescent="0.25">
      <c r="F509" s="2"/>
      <c r="H509" s="2"/>
      <c r="O509" s="4"/>
      <c r="P509" s="3"/>
      <c r="R509" s="3"/>
    </row>
    <row r="510" spans="6:18" x14ac:dyDescent="0.25">
      <c r="F510" s="2"/>
      <c r="H510" s="2"/>
      <c r="O510" s="4"/>
      <c r="P510" s="3"/>
      <c r="R510" s="3"/>
    </row>
    <row r="511" spans="6:18" x14ac:dyDescent="0.25">
      <c r="F511" s="2"/>
      <c r="H511" s="2"/>
      <c r="O511" s="4"/>
      <c r="P511" s="3"/>
      <c r="R511" s="3"/>
    </row>
    <row r="512" spans="6:18" x14ac:dyDescent="0.25">
      <c r="F512" s="2"/>
      <c r="H512" s="2"/>
      <c r="O512" s="4"/>
      <c r="P512" s="3"/>
      <c r="R512" s="3"/>
    </row>
    <row r="513" spans="6:18" x14ac:dyDescent="0.25">
      <c r="F513" s="2"/>
      <c r="H513" s="2"/>
      <c r="O513" s="4"/>
      <c r="P513" s="3"/>
      <c r="R513" s="3"/>
    </row>
    <row r="514" spans="6:18" x14ac:dyDescent="0.25">
      <c r="F514" s="2"/>
      <c r="H514" s="2"/>
      <c r="O514" s="4"/>
      <c r="P514" s="3"/>
      <c r="R514" s="3"/>
    </row>
    <row r="515" spans="6:18" x14ac:dyDescent="0.25">
      <c r="F515" s="2"/>
      <c r="H515" s="2"/>
      <c r="O515" s="4"/>
      <c r="P515" s="3"/>
      <c r="R515" s="3"/>
    </row>
    <row r="516" spans="6:18" x14ac:dyDescent="0.25">
      <c r="F516" s="2"/>
      <c r="H516" s="2"/>
      <c r="O516" s="4"/>
      <c r="P516" s="3"/>
      <c r="R516" s="3"/>
    </row>
    <row r="517" spans="6:18" x14ac:dyDescent="0.25">
      <c r="F517" s="2"/>
      <c r="H517" s="2"/>
      <c r="O517" s="4"/>
      <c r="P517" s="3"/>
      <c r="R517" s="3"/>
    </row>
    <row r="518" spans="6:18" x14ac:dyDescent="0.25">
      <c r="F518" s="2"/>
      <c r="H518" s="2"/>
      <c r="O518" s="4"/>
      <c r="P518" s="3"/>
      <c r="R518" s="3"/>
    </row>
    <row r="519" spans="6:18" x14ac:dyDescent="0.25">
      <c r="F519" s="2"/>
      <c r="H519" s="2"/>
      <c r="O519" s="4"/>
      <c r="P519" s="3"/>
      <c r="R519" s="3"/>
    </row>
    <row r="520" spans="6:18" x14ac:dyDescent="0.25">
      <c r="F520" s="2"/>
      <c r="H520" s="2"/>
      <c r="O520" s="4"/>
      <c r="P520" s="3"/>
      <c r="R520" s="3"/>
    </row>
    <row r="521" spans="6:18" x14ac:dyDescent="0.25">
      <c r="F521" s="2"/>
      <c r="H521" s="2"/>
      <c r="O521" s="4"/>
      <c r="P521" s="3"/>
      <c r="R521" s="3"/>
    </row>
    <row r="522" spans="6:18" x14ac:dyDescent="0.25">
      <c r="F522" s="2"/>
      <c r="H522" s="2"/>
      <c r="O522" s="4"/>
      <c r="P522" s="3"/>
      <c r="R522" s="3"/>
    </row>
    <row r="523" spans="6:18" x14ac:dyDescent="0.25">
      <c r="F523" s="2"/>
      <c r="H523" s="2"/>
      <c r="O523" s="4"/>
      <c r="P523" s="3"/>
      <c r="R523" s="3"/>
    </row>
    <row r="524" spans="6:18" x14ac:dyDescent="0.25">
      <c r="F524" s="2"/>
      <c r="H524" s="2"/>
      <c r="O524" s="4"/>
      <c r="P524" s="3"/>
      <c r="R524" s="3"/>
    </row>
    <row r="525" spans="6:18" x14ac:dyDescent="0.25">
      <c r="F525" s="2"/>
      <c r="H525" s="2"/>
      <c r="O525" s="4"/>
      <c r="P525" s="3"/>
      <c r="R525" s="3"/>
    </row>
    <row r="526" spans="6:18" x14ac:dyDescent="0.25">
      <c r="F526" s="2"/>
      <c r="H526" s="2"/>
      <c r="O526" s="4"/>
      <c r="P526" s="3"/>
      <c r="R526" s="3"/>
    </row>
    <row r="527" spans="6:18" x14ac:dyDescent="0.25">
      <c r="F527" s="2"/>
      <c r="H527" s="2"/>
      <c r="O527" s="4"/>
      <c r="P527" s="3"/>
      <c r="R527" s="3"/>
    </row>
    <row r="528" spans="6:18" x14ac:dyDescent="0.25">
      <c r="F528" s="2"/>
      <c r="H528" s="2"/>
      <c r="O528" s="4"/>
      <c r="P528" s="3"/>
      <c r="R528" s="3"/>
    </row>
    <row r="529" spans="6:18" x14ac:dyDescent="0.25">
      <c r="F529" s="2"/>
      <c r="H529" s="2"/>
      <c r="O529" s="4"/>
      <c r="P529" s="3"/>
      <c r="R529" s="3"/>
    </row>
    <row r="530" spans="6:18" x14ac:dyDescent="0.25">
      <c r="F530" s="2"/>
      <c r="H530" s="2"/>
      <c r="O530" s="4"/>
      <c r="P530" s="3"/>
      <c r="R530" s="3"/>
    </row>
    <row r="531" spans="6:18" x14ac:dyDescent="0.25">
      <c r="F531" s="2"/>
      <c r="H531" s="2"/>
      <c r="O531" s="4"/>
      <c r="P531" s="3"/>
      <c r="R531" s="3"/>
    </row>
    <row r="532" spans="6:18" x14ac:dyDescent="0.25">
      <c r="F532" s="2"/>
      <c r="H532" s="2"/>
      <c r="O532" s="4"/>
      <c r="P532" s="3"/>
      <c r="R532" s="3"/>
    </row>
    <row r="533" spans="6:18" x14ac:dyDescent="0.25">
      <c r="F533" s="2"/>
      <c r="H533" s="2"/>
      <c r="O533" s="4"/>
      <c r="P533" s="3"/>
      <c r="R533" s="3"/>
    </row>
    <row r="534" spans="6:18" x14ac:dyDescent="0.25">
      <c r="F534" s="2"/>
      <c r="H534" s="2"/>
      <c r="O534" s="4"/>
      <c r="P534" s="3"/>
      <c r="R534" s="3"/>
    </row>
    <row r="535" spans="6:18" x14ac:dyDescent="0.25">
      <c r="F535" s="2"/>
      <c r="H535" s="2"/>
      <c r="O535" s="4"/>
      <c r="P535" s="3"/>
      <c r="R535" s="3"/>
    </row>
    <row r="536" spans="6:18" x14ac:dyDescent="0.25">
      <c r="F536" s="2"/>
      <c r="H536" s="2"/>
      <c r="O536" s="4"/>
      <c r="P536" s="3"/>
      <c r="R536" s="3"/>
    </row>
    <row r="537" spans="6:18" x14ac:dyDescent="0.25">
      <c r="F537" s="2"/>
      <c r="H537" s="2"/>
      <c r="O537" s="4"/>
      <c r="P537" s="3"/>
      <c r="R537" s="3"/>
    </row>
    <row r="538" spans="6:18" x14ac:dyDescent="0.25">
      <c r="F538" s="2"/>
      <c r="H538" s="2"/>
      <c r="O538" s="4"/>
      <c r="P538" s="3"/>
      <c r="R538" s="3"/>
    </row>
    <row r="539" spans="6:18" x14ac:dyDescent="0.25">
      <c r="F539" s="2"/>
      <c r="H539" s="2"/>
      <c r="O539" s="4"/>
      <c r="P539" s="3"/>
      <c r="R539" s="3"/>
    </row>
    <row r="540" spans="6:18" x14ac:dyDescent="0.25">
      <c r="F540" s="2"/>
      <c r="H540" s="2"/>
      <c r="O540" s="4"/>
      <c r="P540" s="3"/>
      <c r="R540" s="3"/>
    </row>
    <row r="541" spans="6:18" x14ac:dyDescent="0.25">
      <c r="F541" s="2"/>
      <c r="H541" s="2"/>
      <c r="O541" s="4"/>
      <c r="P541" s="3"/>
      <c r="R541" s="3"/>
    </row>
    <row r="542" spans="6:18" x14ac:dyDescent="0.25">
      <c r="F542" s="2"/>
      <c r="H542" s="2"/>
      <c r="O542" s="4"/>
      <c r="P542" s="3"/>
      <c r="R542" s="3"/>
    </row>
    <row r="543" spans="6:18" x14ac:dyDescent="0.25">
      <c r="F543" s="2"/>
      <c r="H543" s="2"/>
      <c r="O543" s="4"/>
      <c r="P543" s="3"/>
      <c r="R543" s="3"/>
    </row>
    <row r="544" spans="6:18" x14ac:dyDescent="0.25">
      <c r="F544" s="2"/>
      <c r="H544" s="2"/>
      <c r="O544" s="4"/>
      <c r="P544" s="3"/>
      <c r="R544" s="3"/>
    </row>
    <row r="545" spans="6:18" x14ac:dyDescent="0.25">
      <c r="F545" s="2"/>
      <c r="H545" s="2"/>
      <c r="O545" s="4"/>
      <c r="P545" s="3"/>
      <c r="R545" s="3"/>
    </row>
    <row r="546" spans="6:18" x14ac:dyDescent="0.25">
      <c r="F546" s="2"/>
      <c r="H546" s="2"/>
      <c r="O546" s="4"/>
      <c r="P546" s="3"/>
      <c r="R546" s="3"/>
    </row>
    <row r="547" spans="6:18" x14ac:dyDescent="0.25">
      <c r="F547" s="2"/>
      <c r="H547" s="2"/>
      <c r="O547" s="4"/>
      <c r="P547" s="3"/>
      <c r="R547" s="3"/>
    </row>
    <row r="548" spans="6:18" x14ac:dyDescent="0.25">
      <c r="F548" s="2"/>
      <c r="H548" s="2"/>
      <c r="O548" s="4"/>
      <c r="P548" s="3"/>
      <c r="R548" s="3"/>
    </row>
    <row r="549" spans="6:18" x14ac:dyDescent="0.25">
      <c r="F549" s="2"/>
      <c r="H549" s="2"/>
      <c r="O549" s="4"/>
      <c r="P549" s="3"/>
      <c r="R549" s="3"/>
    </row>
    <row r="550" spans="6:18" x14ac:dyDescent="0.25">
      <c r="F550" s="2"/>
      <c r="H550" s="2"/>
      <c r="O550" s="4"/>
      <c r="P550" s="3"/>
      <c r="R550" s="3"/>
    </row>
    <row r="551" spans="6:18" x14ac:dyDescent="0.25">
      <c r="F551" s="2"/>
      <c r="H551" s="2"/>
      <c r="O551" s="4"/>
      <c r="P551" s="3"/>
      <c r="R551" s="3"/>
    </row>
    <row r="552" spans="6:18" x14ac:dyDescent="0.25">
      <c r="F552" s="2"/>
      <c r="H552" s="2"/>
      <c r="O552" s="4"/>
      <c r="P552" s="3"/>
      <c r="R552" s="3"/>
    </row>
    <row r="553" spans="6:18" x14ac:dyDescent="0.25">
      <c r="F553" s="2"/>
      <c r="H553" s="2"/>
      <c r="O553" s="4"/>
      <c r="P553" s="3"/>
      <c r="R553" s="3"/>
    </row>
    <row r="554" spans="6:18" x14ac:dyDescent="0.25">
      <c r="F554" s="2"/>
      <c r="H554" s="2"/>
      <c r="O554" s="4"/>
      <c r="P554" s="3"/>
      <c r="R554" s="3"/>
    </row>
    <row r="555" spans="6:18" x14ac:dyDescent="0.25">
      <c r="F555" s="2"/>
      <c r="H555" s="2"/>
      <c r="O555" s="4"/>
      <c r="P555" s="3"/>
      <c r="R555" s="3"/>
    </row>
    <row r="556" spans="6:18" x14ac:dyDescent="0.25">
      <c r="F556" s="2"/>
      <c r="H556" s="2"/>
      <c r="O556" s="4"/>
      <c r="P556" s="3"/>
      <c r="R556" s="3"/>
    </row>
    <row r="557" spans="6:18" x14ac:dyDescent="0.25">
      <c r="F557" s="2"/>
      <c r="H557" s="2"/>
      <c r="O557" s="4"/>
      <c r="P557" s="3"/>
      <c r="R557" s="3"/>
    </row>
    <row r="558" spans="6:18" x14ac:dyDescent="0.25">
      <c r="F558" s="2"/>
      <c r="H558" s="2"/>
      <c r="O558" s="4"/>
      <c r="P558" s="3"/>
      <c r="R558" s="3"/>
    </row>
    <row r="559" spans="6:18" x14ac:dyDescent="0.25">
      <c r="F559" s="2"/>
      <c r="H559" s="2"/>
      <c r="O559" s="4"/>
      <c r="P559" s="3"/>
      <c r="R559" s="3"/>
    </row>
    <row r="560" spans="6:18" x14ac:dyDescent="0.25">
      <c r="F560" s="2"/>
      <c r="H560" s="2"/>
      <c r="O560" s="4"/>
      <c r="P560" s="3"/>
      <c r="R560" s="3"/>
    </row>
    <row r="561" spans="6:18" x14ac:dyDescent="0.25">
      <c r="F561" s="2"/>
      <c r="H561" s="2"/>
      <c r="O561" s="4"/>
      <c r="P561" s="3"/>
      <c r="R561" s="3"/>
    </row>
    <row r="562" spans="6:18" x14ac:dyDescent="0.25">
      <c r="F562" s="2"/>
      <c r="H562" s="2"/>
      <c r="O562" s="4"/>
      <c r="P562" s="3"/>
      <c r="R562" s="3"/>
    </row>
    <row r="563" spans="6:18" x14ac:dyDescent="0.25">
      <c r="F563" s="2"/>
      <c r="H563" s="2"/>
      <c r="O563" s="4"/>
      <c r="P563" s="3"/>
      <c r="R563" s="3"/>
    </row>
    <row r="564" spans="6:18" x14ac:dyDescent="0.25">
      <c r="F564" s="2"/>
      <c r="H564" s="2"/>
      <c r="O564" s="4"/>
      <c r="P564" s="3"/>
      <c r="R564" s="3"/>
    </row>
    <row r="565" spans="6:18" x14ac:dyDescent="0.25">
      <c r="F565" s="2"/>
      <c r="H565" s="2"/>
      <c r="O565" s="4"/>
      <c r="P565" s="3"/>
      <c r="R565" s="3"/>
    </row>
    <row r="566" spans="6:18" x14ac:dyDescent="0.25">
      <c r="F566" s="2"/>
      <c r="H566" s="2"/>
      <c r="O566" s="4"/>
      <c r="P566" s="3"/>
      <c r="R566" s="3"/>
    </row>
    <row r="567" spans="6:18" x14ac:dyDescent="0.25">
      <c r="F567" s="2"/>
      <c r="H567" s="2"/>
      <c r="O567" s="4"/>
      <c r="P567" s="3"/>
      <c r="R567" s="3"/>
    </row>
    <row r="568" spans="6:18" x14ac:dyDescent="0.25">
      <c r="F568" s="2"/>
      <c r="H568" s="2"/>
      <c r="O568" s="4"/>
      <c r="P568" s="3"/>
      <c r="R568" s="3"/>
    </row>
    <row r="569" spans="6:18" x14ac:dyDescent="0.25">
      <c r="F569" s="2"/>
      <c r="H569" s="2"/>
      <c r="O569" s="4"/>
      <c r="P569" s="3"/>
      <c r="R569" s="3"/>
    </row>
    <row r="570" spans="6:18" x14ac:dyDescent="0.25">
      <c r="F570" s="2"/>
      <c r="H570" s="2"/>
      <c r="O570" s="4"/>
      <c r="P570" s="3"/>
      <c r="R570" s="3"/>
    </row>
    <row r="571" spans="6:18" x14ac:dyDescent="0.25">
      <c r="F571" s="2"/>
      <c r="H571" s="2"/>
      <c r="O571" s="4"/>
      <c r="P571" s="3"/>
      <c r="R571" s="3"/>
    </row>
    <row r="572" spans="6:18" x14ac:dyDescent="0.25">
      <c r="F572" s="2"/>
      <c r="H572" s="2"/>
      <c r="O572" s="4"/>
      <c r="P572" s="3"/>
      <c r="R572" s="3"/>
    </row>
    <row r="573" spans="6:18" x14ac:dyDescent="0.25">
      <c r="F573" s="2"/>
      <c r="H573" s="2"/>
      <c r="O573" s="4"/>
      <c r="P573" s="3"/>
      <c r="R573" s="3"/>
    </row>
    <row r="574" spans="6:18" x14ac:dyDescent="0.25">
      <c r="F574" s="2"/>
      <c r="H574" s="2"/>
      <c r="O574" s="4"/>
      <c r="P574" s="3"/>
      <c r="R574" s="3"/>
    </row>
    <row r="575" spans="6:18" x14ac:dyDescent="0.25">
      <c r="F575" s="2"/>
      <c r="H575" s="2"/>
      <c r="O575" s="4"/>
      <c r="P575" s="3"/>
      <c r="R575" s="3"/>
    </row>
    <row r="576" spans="6:18" x14ac:dyDescent="0.25">
      <c r="F576" s="2"/>
      <c r="H576" s="2"/>
      <c r="O576" s="4"/>
      <c r="P576" s="3"/>
      <c r="R576" s="3"/>
    </row>
    <row r="577" spans="6:18" x14ac:dyDescent="0.25">
      <c r="F577" s="2"/>
      <c r="H577" s="2"/>
      <c r="O577" s="4"/>
      <c r="P577" s="3"/>
      <c r="R577" s="3"/>
    </row>
    <row r="578" spans="6:18" x14ac:dyDescent="0.25">
      <c r="F578" s="2"/>
      <c r="H578" s="2"/>
      <c r="O578" s="4"/>
      <c r="P578" s="3"/>
      <c r="R578" s="3"/>
    </row>
    <row r="579" spans="6:18" x14ac:dyDescent="0.25">
      <c r="F579" s="2"/>
      <c r="H579" s="2"/>
      <c r="O579" s="4"/>
      <c r="P579" s="3"/>
      <c r="R579" s="3"/>
    </row>
    <row r="580" spans="6:18" x14ac:dyDescent="0.25">
      <c r="F580" s="2"/>
      <c r="H580" s="2"/>
      <c r="O580" s="4"/>
      <c r="P580" s="3"/>
      <c r="R580" s="3"/>
    </row>
    <row r="581" spans="6:18" x14ac:dyDescent="0.25">
      <c r="F581" s="2"/>
      <c r="H581" s="2"/>
      <c r="O581" s="4"/>
      <c r="P581" s="3"/>
      <c r="R581" s="3"/>
    </row>
    <row r="582" spans="6:18" x14ac:dyDescent="0.25">
      <c r="F582" s="2"/>
      <c r="H582" s="2"/>
      <c r="O582" s="4"/>
      <c r="P582" s="3"/>
      <c r="R582" s="3"/>
    </row>
    <row r="583" spans="6:18" x14ac:dyDescent="0.25">
      <c r="F583" s="2"/>
      <c r="H583" s="2"/>
      <c r="O583" s="4"/>
      <c r="P583" s="3"/>
      <c r="R583" s="3"/>
    </row>
    <row r="584" spans="6:18" x14ac:dyDescent="0.25">
      <c r="F584" s="2"/>
      <c r="H584" s="2"/>
      <c r="O584" s="4"/>
      <c r="P584" s="3"/>
      <c r="R584" s="3"/>
    </row>
    <row r="585" spans="6:18" x14ac:dyDescent="0.25">
      <c r="F585" s="2"/>
      <c r="H585" s="2"/>
      <c r="O585" s="4"/>
      <c r="P585" s="3"/>
      <c r="R585" s="3"/>
    </row>
    <row r="586" spans="6:18" x14ac:dyDescent="0.25">
      <c r="F586" s="2"/>
      <c r="H586" s="2"/>
      <c r="O586" s="4"/>
      <c r="P586" s="3"/>
      <c r="R586" s="3"/>
    </row>
    <row r="587" spans="6:18" x14ac:dyDescent="0.25">
      <c r="F587" s="2"/>
      <c r="H587" s="2"/>
      <c r="O587" s="4"/>
      <c r="P587" s="3"/>
      <c r="R587" s="3"/>
    </row>
    <row r="588" spans="6:18" x14ac:dyDescent="0.25">
      <c r="F588" s="2"/>
      <c r="H588" s="2"/>
      <c r="O588" s="4"/>
      <c r="P588" s="3"/>
      <c r="R588" s="3"/>
    </row>
    <row r="589" spans="6:18" x14ac:dyDescent="0.25">
      <c r="F589" s="2"/>
      <c r="H589" s="2"/>
      <c r="O589" s="4"/>
      <c r="P589" s="3"/>
      <c r="R589" s="3"/>
    </row>
    <row r="590" spans="6:18" x14ac:dyDescent="0.25">
      <c r="F590" s="2"/>
      <c r="H590" s="2"/>
      <c r="O590" s="4"/>
      <c r="P590" s="3"/>
      <c r="R590" s="3"/>
    </row>
    <row r="591" spans="6:18" x14ac:dyDescent="0.25">
      <c r="F591" s="2"/>
      <c r="H591" s="2"/>
      <c r="O591" s="4"/>
      <c r="P591" s="3"/>
      <c r="R591" s="3"/>
    </row>
    <row r="592" spans="6:18" x14ac:dyDescent="0.25">
      <c r="F592" s="2"/>
      <c r="H592" s="2"/>
      <c r="O592" s="4"/>
      <c r="P592" s="3"/>
      <c r="R592" s="3"/>
    </row>
    <row r="593" spans="6:18" x14ac:dyDescent="0.25">
      <c r="F593" s="2"/>
      <c r="H593" s="2"/>
      <c r="O593" s="4"/>
      <c r="P593" s="3"/>
      <c r="R593" s="3"/>
    </row>
    <row r="594" spans="6:18" x14ac:dyDescent="0.25">
      <c r="F594" s="2"/>
      <c r="H594" s="2"/>
      <c r="O594" s="4"/>
      <c r="P594" s="3"/>
      <c r="R594" s="3"/>
    </row>
    <row r="595" spans="6:18" x14ac:dyDescent="0.25">
      <c r="F595" s="2"/>
      <c r="H595" s="2"/>
      <c r="O595" s="4"/>
      <c r="P595" s="3"/>
      <c r="R595" s="3"/>
    </row>
    <row r="596" spans="6:18" x14ac:dyDescent="0.25">
      <c r="F596" s="2"/>
      <c r="H596" s="2"/>
      <c r="O596" s="4"/>
      <c r="P596" s="3"/>
      <c r="R596" s="3"/>
    </row>
    <row r="597" spans="6:18" x14ac:dyDescent="0.25">
      <c r="F597" s="2"/>
      <c r="H597" s="2"/>
      <c r="O597" s="4"/>
      <c r="P597" s="3"/>
      <c r="R597" s="3"/>
    </row>
    <row r="598" spans="6:18" x14ac:dyDescent="0.25">
      <c r="F598" s="2"/>
      <c r="H598" s="2"/>
      <c r="O598" s="4"/>
      <c r="P598" s="3"/>
      <c r="R598" s="3"/>
    </row>
    <row r="599" spans="6:18" x14ac:dyDescent="0.25">
      <c r="F599" s="2"/>
      <c r="H599" s="2"/>
      <c r="O599" s="4"/>
      <c r="P599" s="3"/>
      <c r="R599" s="3"/>
    </row>
    <row r="600" spans="6:18" x14ac:dyDescent="0.25">
      <c r="F600" s="2"/>
      <c r="H600" s="2"/>
      <c r="O600" s="4"/>
      <c r="P600" s="3"/>
      <c r="R600" s="3"/>
    </row>
    <row r="601" spans="6:18" x14ac:dyDescent="0.25">
      <c r="F601" s="2"/>
      <c r="H601" s="2"/>
      <c r="O601" s="4"/>
      <c r="P601" s="3"/>
      <c r="R601" s="3"/>
    </row>
    <row r="602" spans="6:18" x14ac:dyDescent="0.25">
      <c r="F602" s="2"/>
      <c r="H602" s="2"/>
      <c r="O602" s="4"/>
      <c r="P602" s="3"/>
      <c r="R602" s="3"/>
    </row>
    <row r="603" spans="6:18" x14ac:dyDescent="0.25">
      <c r="F603" s="2"/>
      <c r="H603" s="2"/>
      <c r="O603" s="4"/>
      <c r="P603" s="3"/>
      <c r="R603" s="3"/>
    </row>
    <row r="604" spans="6:18" x14ac:dyDescent="0.25">
      <c r="F604" s="2"/>
      <c r="H604" s="2"/>
      <c r="O604" s="4"/>
      <c r="P604" s="3"/>
      <c r="R604" s="3"/>
    </row>
    <row r="605" spans="6:18" x14ac:dyDescent="0.25">
      <c r="F605" s="2"/>
      <c r="H605" s="2"/>
      <c r="O605" s="4"/>
      <c r="P605" s="3"/>
      <c r="R605" s="3"/>
    </row>
    <row r="606" spans="6:18" x14ac:dyDescent="0.25">
      <c r="F606" s="2"/>
      <c r="H606" s="2"/>
      <c r="O606" s="4"/>
      <c r="P606" s="3"/>
      <c r="R606" s="3"/>
    </row>
    <row r="607" spans="6:18" x14ac:dyDescent="0.25">
      <c r="F607" s="2"/>
      <c r="H607" s="2"/>
      <c r="O607" s="4"/>
      <c r="P607" s="3"/>
      <c r="R607" s="3"/>
    </row>
    <row r="608" spans="6:18" x14ac:dyDescent="0.25">
      <c r="F608" s="2"/>
      <c r="H608" s="2"/>
      <c r="O608" s="4"/>
      <c r="P608" s="3"/>
      <c r="R608" s="3"/>
    </row>
    <row r="609" spans="6:18" x14ac:dyDescent="0.25">
      <c r="F609" s="2"/>
      <c r="H609" s="2"/>
      <c r="O609" s="4"/>
      <c r="P609" s="3"/>
      <c r="R609" s="3"/>
    </row>
    <row r="610" spans="6:18" x14ac:dyDescent="0.25">
      <c r="F610" s="2"/>
      <c r="H610" s="2"/>
      <c r="O610" s="4"/>
      <c r="P610" s="3"/>
      <c r="R610" s="3"/>
    </row>
    <row r="611" spans="6:18" x14ac:dyDescent="0.25">
      <c r="F611" s="2"/>
      <c r="H611" s="2"/>
      <c r="O611" s="4"/>
      <c r="P611" s="3"/>
      <c r="R611" s="3"/>
    </row>
    <row r="612" spans="6:18" x14ac:dyDescent="0.25">
      <c r="F612" s="2"/>
      <c r="H612" s="2"/>
      <c r="O612" s="4"/>
      <c r="P612" s="3"/>
      <c r="R612" s="3"/>
    </row>
    <row r="613" spans="6:18" x14ac:dyDescent="0.25">
      <c r="F613" s="2"/>
      <c r="H613" s="2"/>
      <c r="O613" s="4"/>
      <c r="P613" s="3"/>
      <c r="R613" s="3"/>
    </row>
    <row r="614" spans="6:18" x14ac:dyDescent="0.25">
      <c r="F614" s="2"/>
      <c r="H614" s="2"/>
      <c r="O614" s="4"/>
      <c r="P614" s="3"/>
      <c r="R614" s="3"/>
    </row>
    <row r="615" spans="6:18" x14ac:dyDescent="0.25">
      <c r="F615" s="2"/>
      <c r="H615" s="2"/>
      <c r="O615" s="4"/>
      <c r="P615" s="3"/>
      <c r="R615" s="3"/>
    </row>
    <row r="616" spans="6:18" x14ac:dyDescent="0.25">
      <c r="F616" s="2"/>
      <c r="H616" s="2"/>
      <c r="O616" s="4"/>
      <c r="P616" s="3"/>
      <c r="R616" s="3"/>
    </row>
    <row r="617" spans="6:18" x14ac:dyDescent="0.25">
      <c r="F617" s="2"/>
      <c r="H617" s="2"/>
      <c r="O617" s="4"/>
      <c r="P617" s="3"/>
      <c r="R617" s="3"/>
    </row>
    <row r="618" spans="6:18" x14ac:dyDescent="0.25">
      <c r="F618" s="2"/>
      <c r="H618" s="2"/>
      <c r="O618" s="4"/>
      <c r="P618" s="3"/>
      <c r="R618" s="3"/>
    </row>
    <row r="619" spans="6:18" x14ac:dyDescent="0.25">
      <c r="F619" s="2"/>
      <c r="H619" s="2"/>
      <c r="O619" s="4"/>
      <c r="P619" s="3"/>
      <c r="R619" s="3"/>
    </row>
    <row r="620" spans="6:18" x14ac:dyDescent="0.25">
      <c r="F620" s="2"/>
      <c r="H620" s="2"/>
      <c r="O620" s="4"/>
      <c r="P620" s="3"/>
      <c r="R620" s="3"/>
    </row>
    <row r="621" spans="6:18" x14ac:dyDescent="0.25">
      <c r="F621" s="2"/>
      <c r="H621" s="2"/>
      <c r="O621" s="4"/>
      <c r="P621" s="3"/>
      <c r="R621" s="3"/>
    </row>
    <row r="622" spans="6:18" x14ac:dyDescent="0.25">
      <c r="F622" s="2"/>
      <c r="H622" s="2"/>
      <c r="O622" s="4"/>
      <c r="P622" s="3"/>
      <c r="R622" s="3"/>
    </row>
    <row r="623" spans="6:18" x14ac:dyDescent="0.25">
      <c r="F623" s="2"/>
      <c r="H623" s="2"/>
      <c r="O623" s="4"/>
      <c r="P623" s="3"/>
      <c r="R623" s="3"/>
    </row>
    <row r="624" spans="6:18" x14ac:dyDescent="0.25">
      <c r="F624" s="2"/>
      <c r="H624" s="2"/>
      <c r="O624" s="4"/>
      <c r="P624" s="3"/>
      <c r="R624" s="3"/>
    </row>
    <row r="625" spans="6:18" x14ac:dyDescent="0.25">
      <c r="F625" s="2"/>
      <c r="H625" s="2"/>
      <c r="O625" s="4"/>
      <c r="P625" s="3"/>
      <c r="R625" s="3"/>
    </row>
    <row r="626" spans="6:18" x14ac:dyDescent="0.25">
      <c r="F626" s="2"/>
      <c r="H626" s="2"/>
      <c r="O626" s="4"/>
      <c r="P626" s="3"/>
      <c r="R626" s="3"/>
    </row>
    <row r="627" spans="6:18" x14ac:dyDescent="0.25">
      <c r="F627" s="2"/>
      <c r="H627" s="2"/>
      <c r="O627" s="4"/>
      <c r="P627" s="3"/>
      <c r="R627" s="3"/>
    </row>
    <row r="628" spans="6:18" x14ac:dyDescent="0.25">
      <c r="F628" s="2"/>
      <c r="H628" s="2"/>
      <c r="O628" s="4"/>
      <c r="P628" s="3"/>
      <c r="R628" s="3"/>
    </row>
    <row r="629" spans="6:18" x14ac:dyDescent="0.25">
      <c r="F629" s="2"/>
      <c r="H629" s="2"/>
      <c r="O629" s="4"/>
      <c r="P629" s="3"/>
      <c r="R629" s="3"/>
    </row>
    <row r="630" spans="6:18" x14ac:dyDescent="0.25">
      <c r="F630" s="2"/>
      <c r="H630" s="2"/>
      <c r="O630" s="4"/>
      <c r="P630" s="3"/>
      <c r="R630" s="3"/>
    </row>
    <row r="631" spans="6:18" x14ac:dyDescent="0.25">
      <c r="F631" s="2"/>
      <c r="H631" s="2"/>
      <c r="O631" s="4"/>
      <c r="P631" s="3"/>
      <c r="R631" s="3"/>
    </row>
    <row r="632" spans="6:18" x14ac:dyDescent="0.25">
      <c r="F632" s="2"/>
      <c r="H632" s="2"/>
      <c r="O632" s="4"/>
      <c r="P632" s="3"/>
      <c r="R632" s="3"/>
    </row>
    <row r="633" spans="6:18" x14ac:dyDescent="0.25">
      <c r="F633" s="2"/>
      <c r="H633" s="2"/>
      <c r="O633" s="4"/>
      <c r="P633" s="3"/>
      <c r="R633" s="3"/>
    </row>
    <row r="634" spans="6:18" x14ac:dyDescent="0.25">
      <c r="F634" s="2"/>
      <c r="H634" s="2"/>
      <c r="O634" s="4"/>
      <c r="P634" s="3"/>
      <c r="R634" s="3"/>
    </row>
    <row r="635" spans="6:18" x14ac:dyDescent="0.25">
      <c r="F635" s="2"/>
      <c r="H635" s="2"/>
      <c r="O635" s="4"/>
      <c r="P635" s="3"/>
      <c r="R635" s="3"/>
    </row>
    <row r="636" spans="6:18" x14ac:dyDescent="0.25">
      <c r="F636" s="2"/>
      <c r="H636" s="2"/>
      <c r="O636" s="4"/>
      <c r="P636" s="3"/>
      <c r="R636" s="3"/>
    </row>
    <row r="637" spans="6:18" x14ac:dyDescent="0.25">
      <c r="F637" s="2"/>
      <c r="H637" s="2"/>
      <c r="O637" s="4"/>
      <c r="P637" s="3"/>
      <c r="R637" s="3"/>
    </row>
    <row r="638" spans="6:18" x14ac:dyDescent="0.25">
      <c r="F638" s="2"/>
      <c r="H638" s="2"/>
      <c r="O638" s="4"/>
      <c r="P638" s="3"/>
      <c r="R638" s="3"/>
    </row>
    <row r="639" spans="6:18" x14ac:dyDescent="0.25">
      <c r="F639" s="2"/>
      <c r="H639" s="2"/>
      <c r="O639" s="4"/>
      <c r="P639" s="3"/>
      <c r="R639" s="3"/>
    </row>
    <row r="640" spans="6:18" x14ac:dyDescent="0.25">
      <c r="F640" s="2"/>
      <c r="H640" s="2"/>
      <c r="O640" s="4"/>
      <c r="P640" s="3"/>
      <c r="R640" s="3"/>
    </row>
    <row r="641" spans="6:18" x14ac:dyDescent="0.25">
      <c r="F641" s="2"/>
      <c r="H641" s="2"/>
      <c r="O641" s="4"/>
      <c r="P641" s="3"/>
      <c r="R641" s="3"/>
    </row>
    <row r="642" spans="6:18" x14ac:dyDescent="0.25">
      <c r="F642" s="2"/>
      <c r="H642" s="2"/>
      <c r="O642" s="4"/>
      <c r="P642" s="3"/>
      <c r="R642" s="3"/>
    </row>
    <row r="643" spans="6:18" x14ac:dyDescent="0.25">
      <c r="F643" s="2"/>
      <c r="H643" s="2"/>
      <c r="O643" s="4"/>
      <c r="P643" s="3"/>
      <c r="R643" s="3"/>
    </row>
    <row r="644" spans="6:18" x14ac:dyDescent="0.25">
      <c r="F644" s="2"/>
      <c r="H644" s="2"/>
      <c r="O644" s="4"/>
      <c r="P644" s="3"/>
      <c r="R644" s="3"/>
    </row>
    <row r="645" spans="6:18" x14ac:dyDescent="0.25">
      <c r="F645" s="2"/>
      <c r="H645" s="2"/>
      <c r="O645" s="4"/>
      <c r="P645" s="3"/>
      <c r="R645" s="3"/>
    </row>
    <row r="646" spans="6:18" x14ac:dyDescent="0.25">
      <c r="F646" s="2"/>
      <c r="H646" s="2"/>
      <c r="O646" s="4"/>
      <c r="P646" s="3"/>
      <c r="R646" s="3"/>
    </row>
    <row r="647" spans="6:18" x14ac:dyDescent="0.25">
      <c r="F647" s="2"/>
      <c r="H647" s="2"/>
      <c r="O647" s="4"/>
      <c r="P647" s="3"/>
      <c r="R647" s="3"/>
    </row>
    <row r="648" spans="6:18" x14ac:dyDescent="0.25">
      <c r="F648" s="2"/>
      <c r="H648" s="2"/>
      <c r="O648" s="4"/>
      <c r="P648" s="3"/>
      <c r="R648" s="3"/>
    </row>
    <row r="649" spans="6:18" x14ac:dyDescent="0.25">
      <c r="F649" s="2"/>
      <c r="H649" s="2"/>
      <c r="O649" s="4"/>
      <c r="P649" s="3"/>
      <c r="R649" s="3"/>
    </row>
    <row r="650" spans="6:18" x14ac:dyDescent="0.25">
      <c r="F650" s="2"/>
      <c r="H650" s="2"/>
      <c r="O650" s="4"/>
      <c r="P650" s="3"/>
      <c r="R650" s="3"/>
    </row>
    <row r="651" spans="6:18" x14ac:dyDescent="0.25">
      <c r="F651" s="2"/>
      <c r="H651" s="2"/>
      <c r="O651" s="4"/>
      <c r="P651" s="3"/>
      <c r="R651" s="3"/>
    </row>
    <row r="652" spans="6:18" x14ac:dyDescent="0.25">
      <c r="F652" s="2"/>
      <c r="H652" s="2"/>
      <c r="O652" s="4"/>
      <c r="P652" s="3"/>
      <c r="R652" s="3"/>
    </row>
    <row r="653" spans="6:18" x14ac:dyDescent="0.25">
      <c r="F653" s="2"/>
      <c r="H653" s="2"/>
      <c r="O653" s="4"/>
      <c r="P653" s="3"/>
      <c r="R653" s="3"/>
    </row>
    <row r="654" spans="6:18" x14ac:dyDescent="0.25">
      <c r="F654" s="2"/>
      <c r="H654" s="2"/>
      <c r="O654" s="4"/>
      <c r="P654" s="3"/>
      <c r="R654" s="3"/>
    </row>
    <row r="655" spans="6:18" x14ac:dyDescent="0.25">
      <c r="F655" s="2"/>
      <c r="H655" s="2"/>
      <c r="O655" s="4"/>
      <c r="P655" s="3"/>
      <c r="R655" s="3"/>
    </row>
    <row r="656" spans="6:18" x14ac:dyDescent="0.25">
      <c r="F656" s="2"/>
      <c r="H656" s="2"/>
      <c r="O656" s="4"/>
      <c r="P656" s="3"/>
      <c r="R656" s="3"/>
    </row>
    <row r="657" spans="6:18" x14ac:dyDescent="0.25">
      <c r="F657" s="2"/>
      <c r="H657" s="2"/>
      <c r="O657" s="4"/>
      <c r="P657" s="3"/>
      <c r="R657" s="3"/>
    </row>
    <row r="658" spans="6:18" x14ac:dyDescent="0.25">
      <c r="F658" s="2"/>
      <c r="H658" s="2"/>
      <c r="O658" s="4"/>
      <c r="P658" s="3"/>
      <c r="R658" s="3"/>
    </row>
    <row r="659" spans="6:18" x14ac:dyDescent="0.25">
      <c r="F659" s="2"/>
      <c r="H659" s="2"/>
      <c r="O659" s="4"/>
      <c r="P659" s="3"/>
      <c r="R659" s="3"/>
    </row>
    <row r="660" spans="6:18" x14ac:dyDescent="0.25">
      <c r="F660" s="2"/>
      <c r="H660" s="2"/>
      <c r="O660" s="4"/>
      <c r="P660" s="3"/>
      <c r="R660" s="3"/>
    </row>
    <row r="661" spans="6:18" x14ac:dyDescent="0.25">
      <c r="F661" s="2"/>
      <c r="H661" s="2"/>
      <c r="O661" s="4"/>
      <c r="P661" s="3"/>
      <c r="R661" s="3"/>
    </row>
    <row r="662" spans="6:18" x14ac:dyDescent="0.25">
      <c r="F662" s="2"/>
      <c r="H662" s="2"/>
      <c r="O662" s="4"/>
      <c r="P662" s="3"/>
      <c r="R662" s="3"/>
    </row>
    <row r="663" spans="6:18" x14ac:dyDescent="0.25">
      <c r="F663" s="2"/>
      <c r="H663" s="2"/>
      <c r="O663" s="4"/>
      <c r="P663" s="3"/>
      <c r="R663" s="3"/>
    </row>
    <row r="664" spans="6:18" x14ac:dyDescent="0.25">
      <c r="F664" s="2"/>
      <c r="H664" s="2"/>
      <c r="O664" s="4"/>
      <c r="P664" s="3"/>
      <c r="R664" s="3"/>
    </row>
    <row r="665" spans="6:18" x14ac:dyDescent="0.25">
      <c r="F665" s="2"/>
      <c r="H665" s="2"/>
      <c r="O665" s="4"/>
      <c r="P665" s="3"/>
      <c r="R665" s="3"/>
    </row>
    <row r="666" spans="6:18" x14ac:dyDescent="0.25">
      <c r="F666" s="2"/>
      <c r="H666" s="2"/>
      <c r="O666" s="4"/>
      <c r="P666" s="3"/>
      <c r="R666" s="3"/>
    </row>
    <row r="667" spans="6:18" x14ac:dyDescent="0.25">
      <c r="F667" s="2"/>
      <c r="H667" s="2"/>
      <c r="O667" s="4"/>
      <c r="P667" s="3"/>
      <c r="R667" s="3"/>
    </row>
    <row r="668" spans="6:18" x14ac:dyDescent="0.25">
      <c r="F668" s="2"/>
      <c r="H668" s="2"/>
      <c r="O668" s="4"/>
      <c r="P668" s="3"/>
      <c r="R668" s="3"/>
    </row>
    <row r="669" spans="6:18" x14ac:dyDescent="0.25">
      <c r="F669" s="2"/>
      <c r="H669" s="2"/>
      <c r="O669" s="4"/>
      <c r="P669" s="3"/>
      <c r="R669" s="3"/>
    </row>
    <row r="670" spans="6:18" x14ac:dyDescent="0.25">
      <c r="F670" s="2"/>
      <c r="H670" s="2"/>
      <c r="O670" s="4"/>
      <c r="P670" s="3"/>
      <c r="R670" s="3"/>
    </row>
    <row r="671" spans="6:18" x14ac:dyDescent="0.25">
      <c r="F671" s="2"/>
      <c r="H671" s="2"/>
      <c r="O671" s="4"/>
      <c r="P671" s="3"/>
      <c r="R671" s="3"/>
    </row>
    <row r="672" spans="6:18" x14ac:dyDescent="0.25">
      <c r="F672" s="2"/>
      <c r="H672" s="2"/>
      <c r="O672" s="4"/>
      <c r="P672" s="3"/>
      <c r="R672" s="3"/>
    </row>
    <row r="673" spans="6:18" x14ac:dyDescent="0.25">
      <c r="F673" s="2"/>
      <c r="H673" s="2"/>
      <c r="O673" s="4"/>
      <c r="P673" s="3"/>
      <c r="R673" s="3"/>
    </row>
    <row r="674" spans="6:18" x14ac:dyDescent="0.25">
      <c r="F674" s="2"/>
      <c r="H674" s="2"/>
      <c r="O674" s="4"/>
      <c r="P674" s="3"/>
      <c r="R674" s="3"/>
    </row>
    <row r="675" spans="6:18" x14ac:dyDescent="0.25">
      <c r="F675" s="2"/>
      <c r="H675" s="2"/>
      <c r="O675" s="4"/>
      <c r="P675" s="3"/>
      <c r="R675" s="3"/>
    </row>
    <row r="676" spans="6:18" x14ac:dyDescent="0.25">
      <c r="F676" s="2"/>
      <c r="H676" s="2"/>
      <c r="O676" s="4"/>
      <c r="P676" s="3"/>
      <c r="R676" s="3"/>
    </row>
    <row r="677" spans="6:18" x14ac:dyDescent="0.25">
      <c r="F677" s="2"/>
      <c r="H677" s="2"/>
      <c r="O677" s="4"/>
      <c r="P677" s="3"/>
      <c r="R677" s="3"/>
    </row>
    <row r="678" spans="6:18" x14ac:dyDescent="0.25">
      <c r="F678" s="2"/>
      <c r="H678" s="2"/>
      <c r="O678" s="4"/>
      <c r="P678" s="3"/>
      <c r="R678" s="3"/>
    </row>
    <row r="679" spans="6:18" x14ac:dyDescent="0.25">
      <c r="F679" s="2"/>
      <c r="H679" s="2"/>
      <c r="O679" s="4"/>
      <c r="P679" s="3"/>
      <c r="R679" s="3"/>
    </row>
    <row r="680" spans="6:18" x14ac:dyDescent="0.25">
      <c r="F680" s="2"/>
      <c r="H680" s="2"/>
      <c r="O680" s="4"/>
      <c r="P680" s="3"/>
      <c r="R680" s="3"/>
    </row>
    <row r="681" spans="6:18" x14ac:dyDescent="0.25">
      <c r="F681" s="2"/>
      <c r="H681" s="2"/>
      <c r="O681" s="4"/>
      <c r="P681" s="3"/>
      <c r="R681" s="3"/>
    </row>
    <row r="682" spans="6:18" x14ac:dyDescent="0.25">
      <c r="F682" s="2"/>
      <c r="H682" s="2"/>
      <c r="O682" s="4"/>
      <c r="P682" s="3"/>
      <c r="R682" s="3"/>
    </row>
    <row r="683" spans="6:18" x14ac:dyDescent="0.25">
      <c r="F683" s="2"/>
      <c r="H683" s="2"/>
      <c r="O683" s="4"/>
      <c r="P683" s="3"/>
      <c r="R683" s="3"/>
    </row>
    <row r="684" spans="6:18" x14ac:dyDescent="0.25">
      <c r="F684" s="2"/>
      <c r="H684" s="2"/>
      <c r="O684" s="4"/>
      <c r="P684" s="3"/>
      <c r="R684" s="3"/>
    </row>
    <row r="685" spans="6:18" x14ac:dyDescent="0.25">
      <c r="F685" s="2"/>
      <c r="H685" s="2"/>
      <c r="O685" s="4"/>
      <c r="P685" s="3"/>
      <c r="R685" s="3"/>
    </row>
    <row r="686" spans="6:18" x14ac:dyDescent="0.25">
      <c r="F686" s="2"/>
      <c r="H686" s="2"/>
      <c r="O686" s="4"/>
      <c r="P686" s="3"/>
      <c r="R686" s="3"/>
    </row>
    <row r="687" spans="6:18" x14ac:dyDescent="0.25">
      <c r="F687" s="2"/>
      <c r="H687" s="2"/>
      <c r="O687" s="4"/>
      <c r="P687" s="3"/>
      <c r="R687" s="3"/>
    </row>
    <row r="688" spans="6:18" x14ac:dyDescent="0.25">
      <c r="F688" s="2"/>
      <c r="H688" s="2"/>
      <c r="O688" s="4"/>
      <c r="P688" s="3"/>
      <c r="R688" s="3"/>
    </row>
    <row r="689" spans="6:18" x14ac:dyDescent="0.25">
      <c r="F689" s="2"/>
      <c r="H689" s="2"/>
      <c r="O689" s="4"/>
      <c r="P689" s="3"/>
      <c r="R689" s="3"/>
    </row>
    <row r="690" spans="6:18" x14ac:dyDescent="0.25">
      <c r="F690" s="2"/>
      <c r="H690" s="2"/>
      <c r="O690" s="4"/>
      <c r="P690" s="3"/>
      <c r="R690" s="3"/>
    </row>
    <row r="691" spans="6:18" x14ac:dyDescent="0.25">
      <c r="F691" s="2"/>
      <c r="H691" s="2"/>
      <c r="O691" s="4"/>
      <c r="P691" s="3"/>
      <c r="R691" s="3"/>
    </row>
    <row r="692" spans="6:18" x14ac:dyDescent="0.25">
      <c r="F692" s="2"/>
      <c r="H692" s="2"/>
      <c r="O692" s="4"/>
      <c r="P692" s="3"/>
      <c r="R692" s="3"/>
    </row>
    <row r="693" spans="6:18" x14ac:dyDescent="0.25">
      <c r="F693" s="2"/>
      <c r="H693" s="2"/>
      <c r="O693" s="4"/>
      <c r="P693" s="3"/>
      <c r="R693" s="3"/>
    </row>
    <row r="694" spans="6:18" x14ac:dyDescent="0.25">
      <c r="F694" s="2"/>
      <c r="H694" s="2"/>
      <c r="O694" s="4"/>
      <c r="P694" s="3"/>
      <c r="R694" s="3"/>
    </row>
    <row r="695" spans="6:18" x14ac:dyDescent="0.25">
      <c r="F695" s="2"/>
      <c r="H695" s="2"/>
      <c r="O695" s="4"/>
      <c r="P695" s="3"/>
      <c r="R695" s="3"/>
    </row>
    <row r="696" spans="6:18" x14ac:dyDescent="0.25">
      <c r="F696" s="2"/>
      <c r="H696" s="2"/>
      <c r="O696" s="4"/>
      <c r="P696" s="3"/>
      <c r="R696" s="3"/>
    </row>
    <row r="697" spans="6:18" x14ac:dyDescent="0.25">
      <c r="F697" s="2"/>
      <c r="H697" s="2"/>
      <c r="O697" s="4"/>
      <c r="P697" s="3"/>
      <c r="R697" s="3"/>
    </row>
    <row r="698" spans="6:18" x14ac:dyDescent="0.25">
      <c r="F698" s="2"/>
      <c r="H698" s="2"/>
      <c r="O698" s="4"/>
      <c r="P698" s="3"/>
      <c r="R698" s="3"/>
    </row>
    <row r="699" spans="6:18" x14ac:dyDescent="0.25">
      <c r="F699" s="2"/>
      <c r="H699" s="2"/>
      <c r="O699" s="4"/>
      <c r="P699" s="3"/>
      <c r="R699" s="3"/>
    </row>
    <row r="700" spans="6:18" x14ac:dyDescent="0.25">
      <c r="F700" s="2"/>
      <c r="H700" s="2"/>
      <c r="O700" s="4"/>
      <c r="P700" s="3"/>
      <c r="R700" s="3"/>
    </row>
    <row r="701" spans="6:18" x14ac:dyDescent="0.25">
      <c r="F701" s="2"/>
      <c r="H701" s="2"/>
      <c r="O701" s="4"/>
      <c r="P701" s="3"/>
      <c r="R701" s="3"/>
    </row>
    <row r="702" spans="6:18" x14ac:dyDescent="0.25">
      <c r="F702" s="2"/>
      <c r="H702" s="2"/>
      <c r="O702" s="4"/>
      <c r="P702" s="3"/>
      <c r="R702" s="3"/>
    </row>
    <row r="703" spans="6:18" x14ac:dyDescent="0.25">
      <c r="F703" s="2"/>
      <c r="H703" s="2"/>
      <c r="O703" s="4"/>
      <c r="P703" s="3"/>
      <c r="R703" s="3"/>
    </row>
    <row r="704" spans="6:18" x14ac:dyDescent="0.25">
      <c r="F704" s="2"/>
      <c r="H704" s="2"/>
      <c r="O704" s="4"/>
      <c r="P704" s="3"/>
      <c r="R704" s="3"/>
    </row>
    <row r="705" spans="6:18" x14ac:dyDescent="0.25">
      <c r="F705" s="2"/>
      <c r="H705" s="2"/>
      <c r="O705" s="4"/>
      <c r="P705" s="3"/>
      <c r="R705" s="3"/>
    </row>
    <row r="706" spans="6:18" x14ac:dyDescent="0.25">
      <c r="F706" s="2"/>
      <c r="H706" s="2"/>
      <c r="O706" s="4"/>
      <c r="P706" s="3"/>
      <c r="R706" s="3"/>
    </row>
    <row r="707" spans="6:18" x14ac:dyDescent="0.25">
      <c r="F707" s="2"/>
      <c r="H707" s="2"/>
      <c r="O707" s="4"/>
      <c r="P707" s="3"/>
      <c r="R707" s="3"/>
    </row>
    <row r="708" spans="6:18" x14ac:dyDescent="0.25">
      <c r="F708" s="2"/>
      <c r="H708" s="2"/>
      <c r="O708" s="4"/>
      <c r="P708" s="3"/>
      <c r="R708" s="3"/>
    </row>
    <row r="709" spans="6:18" x14ac:dyDescent="0.25">
      <c r="F709" s="2"/>
      <c r="H709" s="2"/>
      <c r="O709" s="4"/>
      <c r="P709" s="3"/>
      <c r="R709" s="3"/>
    </row>
    <row r="710" spans="6:18" x14ac:dyDescent="0.25">
      <c r="F710" s="2"/>
      <c r="H710" s="2"/>
      <c r="O710" s="4"/>
      <c r="P710" s="3"/>
      <c r="R710" s="3"/>
    </row>
    <row r="711" spans="6:18" x14ac:dyDescent="0.25">
      <c r="F711" s="2"/>
      <c r="H711" s="2"/>
      <c r="O711" s="4"/>
      <c r="P711" s="3"/>
      <c r="R711" s="3"/>
    </row>
    <row r="712" spans="6:18" x14ac:dyDescent="0.25">
      <c r="F712" s="2"/>
      <c r="H712" s="2"/>
      <c r="O712" s="4"/>
      <c r="P712" s="3"/>
      <c r="R712" s="3"/>
    </row>
    <row r="713" spans="6:18" x14ac:dyDescent="0.25">
      <c r="F713" s="2"/>
      <c r="H713" s="2"/>
      <c r="O713" s="4"/>
      <c r="P713" s="3"/>
      <c r="R713" s="3"/>
    </row>
    <row r="714" spans="6:18" x14ac:dyDescent="0.25">
      <c r="F714" s="2"/>
      <c r="H714" s="2"/>
      <c r="O714" s="4"/>
      <c r="P714" s="3"/>
      <c r="R714" s="3"/>
    </row>
    <row r="715" spans="6:18" x14ac:dyDescent="0.25">
      <c r="F715" s="2"/>
      <c r="H715" s="2"/>
      <c r="O715" s="4"/>
      <c r="P715" s="3"/>
      <c r="R715" s="3"/>
    </row>
    <row r="716" spans="6:18" x14ac:dyDescent="0.25">
      <c r="F716" s="2"/>
      <c r="H716" s="2"/>
      <c r="O716" s="4"/>
      <c r="P716" s="3"/>
      <c r="R716" s="3"/>
    </row>
    <row r="717" spans="6:18" x14ac:dyDescent="0.25">
      <c r="F717" s="2"/>
      <c r="H717" s="2"/>
      <c r="O717" s="4"/>
      <c r="P717" s="3"/>
      <c r="R717" s="3"/>
    </row>
    <row r="718" spans="6:18" x14ac:dyDescent="0.25">
      <c r="F718" s="2"/>
      <c r="H718" s="2"/>
      <c r="O718" s="4"/>
      <c r="P718" s="3"/>
      <c r="R718" s="3"/>
    </row>
    <row r="719" spans="6:18" x14ac:dyDescent="0.25">
      <c r="F719" s="2"/>
      <c r="H719" s="2"/>
      <c r="O719" s="4"/>
      <c r="P719" s="3"/>
      <c r="R719" s="3"/>
    </row>
    <row r="720" spans="6:18" x14ac:dyDescent="0.25">
      <c r="F720" s="2"/>
      <c r="H720" s="2"/>
      <c r="O720" s="4"/>
      <c r="P720" s="3"/>
      <c r="R720" s="3"/>
    </row>
    <row r="721" spans="6:18" x14ac:dyDescent="0.25">
      <c r="F721" s="2"/>
      <c r="H721" s="2"/>
      <c r="O721" s="4"/>
      <c r="P721" s="3"/>
      <c r="R721" s="3"/>
    </row>
    <row r="722" spans="6:18" x14ac:dyDescent="0.25">
      <c r="F722" s="2"/>
      <c r="H722" s="2"/>
      <c r="O722" s="4"/>
      <c r="P722" s="3"/>
      <c r="R722" s="3"/>
    </row>
    <row r="723" spans="6:18" x14ac:dyDescent="0.25">
      <c r="F723" s="2"/>
      <c r="H723" s="2"/>
      <c r="O723" s="4"/>
      <c r="P723" s="3"/>
      <c r="R723" s="3"/>
    </row>
    <row r="724" spans="6:18" x14ac:dyDescent="0.25">
      <c r="F724" s="2"/>
      <c r="H724" s="2"/>
      <c r="O724" s="4"/>
      <c r="P724" s="3"/>
      <c r="R724" s="3"/>
    </row>
    <row r="725" spans="6:18" x14ac:dyDescent="0.25">
      <c r="F725" s="2"/>
      <c r="H725" s="2"/>
      <c r="O725" s="4"/>
      <c r="P725" s="3"/>
      <c r="R725" s="3"/>
    </row>
    <row r="726" spans="6:18" x14ac:dyDescent="0.25">
      <c r="F726" s="2"/>
      <c r="H726" s="2"/>
      <c r="O726" s="4"/>
      <c r="P726" s="3"/>
      <c r="R726" s="3"/>
    </row>
    <row r="727" spans="6:18" x14ac:dyDescent="0.25">
      <c r="F727" s="2"/>
      <c r="H727" s="2"/>
      <c r="O727" s="4"/>
      <c r="P727" s="3"/>
      <c r="R727" s="3"/>
    </row>
    <row r="728" spans="6:18" x14ac:dyDescent="0.25">
      <c r="F728" s="2"/>
      <c r="H728" s="2"/>
      <c r="O728" s="4"/>
      <c r="P728" s="3"/>
      <c r="R728" s="3"/>
    </row>
    <row r="729" spans="6:18" x14ac:dyDescent="0.25">
      <c r="F729" s="2"/>
      <c r="H729" s="2"/>
      <c r="O729" s="4"/>
      <c r="P729" s="3"/>
      <c r="R729" s="3"/>
    </row>
    <row r="730" spans="6:18" x14ac:dyDescent="0.25">
      <c r="F730" s="2"/>
      <c r="H730" s="2"/>
      <c r="O730" s="4"/>
      <c r="P730" s="3"/>
      <c r="R730" s="3"/>
    </row>
    <row r="731" spans="6:18" x14ac:dyDescent="0.25">
      <c r="F731" s="2"/>
      <c r="H731" s="2"/>
      <c r="O731" s="4"/>
      <c r="P731" s="3"/>
      <c r="R731" s="3"/>
    </row>
    <row r="732" spans="6:18" x14ac:dyDescent="0.25">
      <c r="F732" s="2"/>
      <c r="H732" s="2"/>
      <c r="O732" s="4"/>
      <c r="P732" s="3"/>
      <c r="R732" s="3"/>
    </row>
    <row r="733" spans="6:18" x14ac:dyDescent="0.25">
      <c r="F733" s="2"/>
      <c r="H733" s="2"/>
      <c r="O733" s="4"/>
      <c r="P733" s="3"/>
      <c r="R733" s="3"/>
    </row>
    <row r="734" spans="6:18" x14ac:dyDescent="0.25">
      <c r="F734" s="2"/>
      <c r="H734" s="2"/>
      <c r="O734" s="4"/>
      <c r="P734" s="3"/>
      <c r="R734" s="3"/>
    </row>
    <row r="735" spans="6:18" x14ac:dyDescent="0.25">
      <c r="F735" s="2"/>
      <c r="H735" s="2"/>
      <c r="O735" s="4"/>
      <c r="P735" s="3"/>
      <c r="R735" s="3"/>
    </row>
    <row r="736" spans="6:18" x14ac:dyDescent="0.25">
      <c r="F736" s="2"/>
      <c r="H736" s="2"/>
      <c r="O736" s="4"/>
      <c r="P736" s="3"/>
      <c r="R736" s="3"/>
    </row>
    <row r="737" spans="6:18" x14ac:dyDescent="0.25">
      <c r="F737" s="2"/>
      <c r="H737" s="2"/>
      <c r="O737" s="4"/>
      <c r="P737" s="3"/>
      <c r="R737" s="3"/>
    </row>
    <row r="738" spans="6:18" x14ac:dyDescent="0.25">
      <c r="F738" s="2"/>
      <c r="H738" s="2"/>
      <c r="O738" s="4"/>
      <c r="P738" s="3"/>
      <c r="R738" s="3"/>
    </row>
    <row r="739" spans="6:18" x14ac:dyDescent="0.25">
      <c r="F739" s="2"/>
      <c r="H739" s="2"/>
      <c r="O739" s="4"/>
      <c r="P739" s="3"/>
      <c r="R739" s="3"/>
    </row>
    <row r="740" spans="6:18" x14ac:dyDescent="0.25">
      <c r="F740" s="2"/>
      <c r="H740" s="2"/>
      <c r="O740" s="4"/>
      <c r="P740" s="3"/>
      <c r="R740" s="3"/>
    </row>
    <row r="741" spans="6:18" x14ac:dyDescent="0.25">
      <c r="F741" s="2"/>
      <c r="H741" s="2"/>
      <c r="O741" s="4"/>
      <c r="P741" s="3"/>
      <c r="R741" s="3"/>
    </row>
    <row r="742" spans="6:18" x14ac:dyDescent="0.25">
      <c r="F742" s="2"/>
      <c r="H742" s="2"/>
      <c r="O742" s="4"/>
      <c r="P742" s="3"/>
      <c r="R742" s="3"/>
    </row>
    <row r="743" spans="6:18" x14ac:dyDescent="0.25">
      <c r="F743" s="2"/>
      <c r="H743" s="2"/>
      <c r="O743" s="4"/>
      <c r="P743" s="3"/>
      <c r="R743" s="3"/>
    </row>
    <row r="744" spans="6:18" x14ac:dyDescent="0.25">
      <c r="F744" s="2"/>
      <c r="H744" s="2"/>
      <c r="O744" s="4"/>
      <c r="P744" s="3"/>
      <c r="R744" s="3"/>
    </row>
    <row r="745" spans="6:18" x14ac:dyDescent="0.25">
      <c r="F745" s="2"/>
      <c r="H745" s="2"/>
      <c r="O745" s="4"/>
      <c r="P745" s="3"/>
      <c r="R745" s="3"/>
    </row>
    <row r="746" spans="6:18" x14ac:dyDescent="0.25">
      <c r="F746" s="2"/>
      <c r="H746" s="2"/>
      <c r="O746" s="4"/>
      <c r="P746" s="3"/>
      <c r="R746" s="3"/>
    </row>
    <row r="747" spans="6:18" x14ac:dyDescent="0.25">
      <c r="F747" s="2"/>
      <c r="H747" s="2"/>
      <c r="O747" s="4"/>
      <c r="P747" s="3"/>
      <c r="R747" s="3"/>
    </row>
    <row r="748" spans="6:18" x14ac:dyDescent="0.25">
      <c r="F748" s="2"/>
      <c r="H748" s="2"/>
      <c r="O748" s="4"/>
      <c r="P748" s="3"/>
      <c r="R748" s="3"/>
    </row>
    <row r="749" spans="6:18" x14ac:dyDescent="0.25">
      <c r="F749" s="2"/>
      <c r="H749" s="2"/>
      <c r="O749" s="4"/>
      <c r="P749" s="3"/>
      <c r="R749" s="3"/>
    </row>
    <row r="750" spans="6:18" x14ac:dyDescent="0.25">
      <c r="F750" s="2"/>
      <c r="H750" s="2"/>
      <c r="O750" s="4"/>
      <c r="P750" s="3"/>
      <c r="R750" s="3"/>
    </row>
    <row r="751" spans="6:18" x14ac:dyDescent="0.25">
      <c r="F751" s="2"/>
      <c r="H751" s="2"/>
      <c r="O751" s="4"/>
      <c r="P751" s="3"/>
      <c r="R751" s="3"/>
    </row>
    <row r="752" spans="6:18" x14ac:dyDescent="0.25">
      <c r="F752" s="2"/>
      <c r="H752" s="2"/>
      <c r="O752" s="4"/>
      <c r="P752" s="3"/>
      <c r="R752" s="3"/>
    </row>
    <row r="753" spans="6:18" x14ac:dyDescent="0.25">
      <c r="F753" s="2"/>
      <c r="H753" s="2"/>
      <c r="O753" s="4"/>
      <c r="P753" s="3"/>
      <c r="R753" s="3"/>
    </row>
    <row r="754" spans="6:18" x14ac:dyDescent="0.25">
      <c r="F754" s="2"/>
      <c r="H754" s="2"/>
      <c r="O754" s="4"/>
      <c r="P754" s="3"/>
      <c r="R754" s="3"/>
    </row>
    <row r="755" spans="6:18" x14ac:dyDescent="0.25">
      <c r="F755" s="2"/>
      <c r="H755" s="2"/>
      <c r="O755" s="4"/>
      <c r="P755" s="3"/>
      <c r="R755" s="3"/>
    </row>
    <row r="756" spans="6:18" x14ac:dyDescent="0.25">
      <c r="F756" s="2"/>
      <c r="H756" s="2"/>
      <c r="O756" s="4"/>
      <c r="P756" s="3"/>
      <c r="R756" s="3"/>
    </row>
    <row r="757" spans="6:18" x14ac:dyDescent="0.25">
      <c r="F757" s="2"/>
      <c r="H757" s="2"/>
      <c r="O757" s="4"/>
      <c r="P757" s="3"/>
      <c r="R757" s="3"/>
    </row>
    <row r="758" spans="6:18" x14ac:dyDescent="0.25">
      <c r="F758" s="2"/>
      <c r="H758" s="2"/>
      <c r="O758" s="4"/>
      <c r="P758" s="3"/>
      <c r="R758" s="3"/>
    </row>
    <row r="759" spans="6:18" x14ac:dyDescent="0.25">
      <c r="F759" s="2"/>
      <c r="H759" s="2"/>
      <c r="O759" s="4"/>
      <c r="P759" s="3"/>
      <c r="R759" s="3"/>
    </row>
    <row r="760" spans="6:18" x14ac:dyDescent="0.25">
      <c r="F760" s="2"/>
      <c r="H760" s="2"/>
      <c r="O760" s="4"/>
      <c r="P760" s="3"/>
      <c r="R760" s="3"/>
    </row>
    <row r="761" spans="6:18" x14ac:dyDescent="0.25">
      <c r="F761" s="2"/>
      <c r="H761" s="2"/>
      <c r="O761" s="4"/>
      <c r="P761" s="3"/>
      <c r="R761" s="3"/>
    </row>
    <row r="762" spans="6:18" x14ac:dyDescent="0.25">
      <c r="F762" s="2"/>
      <c r="H762" s="2"/>
      <c r="O762" s="4"/>
      <c r="P762" s="3"/>
      <c r="R762" s="3"/>
    </row>
    <row r="763" spans="6:18" x14ac:dyDescent="0.25">
      <c r="F763" s="2"/>
      <c r="H763" s="2"/>
      <c r="O763" s="4"/>
      <c r="P763" s="3"/>
      <c r="R763" s="3"/>
    </row>
    <row r="764" spans="6:18" x14ac:dyDescent="0.25">
      <c r="F764" s="2"/>
      <c r="H764" s="2"/>
      <c r="O764" s="4"/>
      <c r="P764" s="3"/>
      <c r="R764" s="3"/>
    </row>
    <row r="765" spans="6:18" x14ac:dyDescent="0.25">
      <c r="F765" s="2"/>
      <c r="H765" s="2"/>
      <c r="O765" s="4"/>
      <c r="P765" s="3"/>
      <c r="R765" s="3"/>
    </row>
    <row r="766" spans="6:18" x14ac:dyDescent="0.25">
      <c r="F766" s="2"/>
      <c r="H766" s="2"/>
      <c r="O766" s="4"/>
      <c r="P766" s="3"/>
      <c r="R766" s="3"/>
    </row>
    <row r="767" spans="6:18" x14ac:dyDescent="0.25">
      <c r="F767" s="2"/>
      <c r="H767" s="2"/>
      <c r="O767" s="4"/>
      <c r="P767" s="3"/>
      <c r="R767" s="3"/>
    </row>
    <row r="768" spans="6:18" x14ac:dyDescent="0.25">
      <c r="F768" s="2"/>
      <c r="H768" s="2"/>
      <c r="O768" s="4"/>
      <c r="P768" s="3"/>
      <c r="R768" s="3"/>
    </row>
    <row r="769" spans="6:18" x14ac:dyDescent="0.25">
      <c r="F769" s="2"/>
      <c r="H769" s="2"/>
      <c r="O769" s="4"/>
      <c r="P769" s="3"/>
      <c r="R769" s="3"/>
    </row>
    <row r="770" spans="6:18" x14ac:dyDescent="0.25">
      <c r="F770" s="2"/>
      <c r="H770" s="2"/>
      <c r="O770" s="4"/>
      <c r="P770" s="3"/>
      <c r="R770" s="3"/>
    </row>
    <row r="771" spans="6:18" x14ac:dyDescent="0.25">
      <c r="F771" s="2"/>
      <c r="H771" s="2"/>
      <c r="O771" s="4"/>
      <c r="P771" s="3"/>
      <c r="R771" s="3"/>
    </row>
    <row r="772" spans="6:18" x14ac:dyDescent="0.25">
      <c r="F772" s="2"/>
      <c r="H772" s="2"/>
      <c r="O772" s="4"/>
      <c r="P772" s="3"/>
      <c r="R772" s="3"/>
    </row>
    <row r="773" spans="6:18" x14ac:dyDescent="0.25">
      <c r="F773" s="2"/>
      <c r="H773" s="2"/>
      <c r="O773" s="4"/>
      <c r="P773" s="3"/>
      <c r="R773" s="3"/>
    </row>
    <row r="774" spans="6:18" x14ac:dyDescent="0.25">
      <c r="F774" s="2"/>
      <c r="H774" s="2"/>
      <c r="O774" s="4"/>
      <c r="P774" s="3"/>
      <c r="R774" s="3"/>
    </row>
    <row r="775" spans="6:18" x14ac:dyDescent="0.25">
      <c r="F775" s="2"/>
      <c r="H775" s="2"/>
      <c r="O775" s="4"/>
      <c r="P775" s="3"/>
      <c r="R775" s="3"/>
    </row>
    <row r="776" spans="6:18" x14ac:dyDescent="0.25">
      <c r="F776" s="2"/>
      <c r="H776" s="2"/>
      <c r="O776" s="4"/>
      <c r="P776" s="3"/>
      <c r="R776" s="3"/>
    </row>
    <row r="777" spans="6:18" x14ac:dyDescent="0.25">
      <c r="F777" s="2"/>
      <c r="H777" s="2"/>
      <c r="O777" s="4"/>
      <c r="P777" s="3"/>
      <c r="R777" s="3"/>
    </row>
    <row r="778" spans="6:18" x14ac:dyDescent="0.25">
      <c r="F778" s="2"/>
      <c r="H778" s="2"/>
      <c r="O778" s="4"/>
      <c r="P778" s="3"/>
      <c r="R778" s="3"/>
    </row>
    <row r="779" spans="6:18" x14ac:dyDescent="0.25">
      <c r="F779" s="2"/>
      <c r="H779" s="2"/>
      <c r="O779" s="4"/>
      <c r="P779" s="3"/>
      <c r="R779" s="3"/>
    </row>
    <row r="780" spans="6:18" x14ac:dyDescent="0.25">
      <c r="F780" s="2"/>
      <c r="H780" s="2"/>
      <c r="O780" s="4"/>
      <c r="P780" s="3"/>
      <c r="R780" s="3"/>
    </row>
    <row r="781" spans="6:18" x14ac:dyDescent="0.25">
      <c r="F781" s="2"/>
      <c r="H781" s="2"/>
      <c r="O781" s="4"/>
      <c r="P781" s="3"/>
      <c r="R781" s="3"/>
    </row>
    <row r="782" spans="6:18" x14ac:dyDescent="0.25">
      <c r="F782" s="2"/>
      <c r="H782" s="2"/>
      <c r="O782" s="4"/>
      <c r="P782" s="3"/>
      <c r="R782" s="3"/>
    </row>
    <row r="783" spans="6:18" x14ac:dyDescent="0.25">
      <c r="F783" s="2"/>
      <c r="H783" s="2"/>
      <c r="O783" s="4"/>
      <c r="P783" s="3"/>
      <c r="R783" s="3"/>
    </row>
    <row r="784" spans="6:18" x14ac:dyDescent="0.25">
      <c r="F784" s="2"/>
      <c r="H784" s="2"/>
      <c r="O784" s="4"/>
      <c r="P784" s="3"/>
      <c r="R784" s="3"/>
    </row>
    <row r="785" spans="6:18" x14ac:dyDescent="0.25">
      <c r="F785" s="2"/>
      <c r="H785" s="2"/>
      <c r="O785" s="4"/>
      <c r="P785" s="3"/>
      <c r="R785" s="3"/>
    </row>
    <row r="786" spans="6:18" x14ac:dyDescent="0.25">
      <c r="F786" s="2"/>
      <c r="H786" s="2"/>
      <c r="O786" s="4"/>
      <c r="P786" s="3"/>
      <c r="R786" s="3"/>
    </row>
    <row r="787" spans="6:18" x14ac:dyDescent="0.25">
      <c r="F787" s="2"/>
      <c r="H787" s="2"/>
      <c r="O787" s="4"/>
      <c r="P787" s="3"/>
      <c r="R787" s="3"/>
    </row>
    <row r="788" spans="6:18" x14ac:dyDescent="0.25">
      <c r="F788" s="2"/>
      <c r="H788" s="2"/>
      <c r="O788" s="4"/>
      <c r="P788" s="3"/>
      <c r="R788" s="3"/>
    </row>
    <row r="789" spans="6:18" x14ac:dyDescent="0.25">
      <c r="F789" s="2"/>
      <c r="H789" s="2"/>
      <c r="O789" s="4"/>
      <c r="P789" s="3"/>
      <c r="R789" s="3"/>
    </row>
    <row r="790" spans="6:18" x14ac:dyDescent="0.25">
      <c r="F790" s="2"/>
      <c r="H790" s="2"/>
      <c r="O790" s="4"/>
      <c r="P790" s="3"/>
      <c r="R790" s="3"/>
    </row>
    <row r="791" spans="6:18" x14ac:dyDescent="0.25">
      <c r="F791" s="2"/>
      <c r="H791" s="2"/>
      <c r="O791" s="4"/>
      <c r="P791" s="3"/>
      <c r="R791" s="3"/>
    </row>
    <row r="792" spans="6:18" x14ac:dyDescent="0.25">
      <c r="F792" s="2"/>
      <c r="H792" s="2"/>
      <c r="O792" s="4"/>
      <c r="P792" s="3"/>
      <c r="R792" s="3"/>
    </row>
    <row r="793" spans="6:18" x14ac:dyDescent="0.25">
      <c r="F793" s="2"/>
      <c r="H793" s="2"/>
      <c r="O793" s="4"/>
      <c r="P793" s="3"/>
      <c r="R793" s="3"/>
    </row>
    <row r="794" spans="6:18" x14ac:dyDescent="0.25">
      <c r="F794" s="2"/>
      <c r="H794" s="2"/>
      <c r="O794" s="4"/>
      <c r="P794" s="3"/>
      <c r="R794" s="3"/>
    </row>
    <row r="795" spans="6:18" x14ac:dyDescent="0.25">
      <c r="F795" s="2"/>
      <c r="H795" s="2"/>
      <c r="O795" s="4"/>
      <c r="P795" s="3"/>
      <c r="R795" s="3"/>
    </row>
    <row r="796" spans="6:18" x14ac:dyDescent="0.25">
      <c r="F796" s="2"/>
      <c r="H796" s="2"/>
      <c r="O796" s="4"/>
      <c r="P796" s="3"/>
      <c r="R796" s="3"/>
    </row>
    <row r="797" spans="6:18" x14ac:dyDescent="0.25">
      <c r="F797" s="2"/>
      <c r="H797" s="2"/>
      <c r="O797" s="4"/>
      <c r="P797" s="3"/>
      <c r="R797" s="3"/>
    </row>
    <row r="798" spans="6:18" x14ac:dyDescent="0.25">
      <c r="F798" s="2"/>
      <c r="H798" s="2"/>
      <c r="O798" s="4"/>
      <c r="P798" s="3"/>
      <c r="R798" s="3"/>
    </row>
    <row r="799" spans="6:18" x14ac:dyDescent="0.25">
      <c r="F799" s="2"/>
      <c r="H799" s="2"/>
      <c r="O799" s="4"/>
      <c r="P799" s="3"/>
      <c r="R799" s="3"/>
    </row>
    <row r="800" spans="6:18" x14ac:dyDescent="0.25">
      <c r="F800" s="2"/>
      <c r="H800" s="2"/>
      <c r="O800" s="4"/>
      <c r="P800" s="3"/>
      <c r="R800" s="3"/>
    </row>
    <row r="801" spans="6:18" x14ac:dyDescent="0.25">
      <c r="F801" s="2"/>
      <c r="H801" s="2"/>
      <c r="O801" s="4"/>
      <c r="P801" s="3"/>
      <c r="R801" s="3"/>
    </row>
    <row r="802" spans="6:18" x14ac:dyDescent="0.25">
      <c r="F802" s="2"/>
      <c r="H802" s="2"/>
      <c r="O802" s="4"/>
      <c r="P802" s="3"/>
      <c r="R802" s="3"/>
    </row>
    <row r="803" spans="6:18" x14ac:dyDescent="0.25">
      <c r="F803" s="2"/>
      <c r="H803" s="2"/>
      <c r="O803" s="4"/>
      <c r="P803" s="3"/>
      <c r="R803" s="3"/>
    </row>
    <row r="804" spans="6:18" x14ac:dyDescent="0.25">
      <c r="F804" s="2"/>
      <c r="H804" s="2"/>
      <c r="O804" s="4"/>
      <c r="P804" s="3"/>
      <c r="R804" s="3"/>
    </row>
    <row r="805" spans="6:18" x14ac:dyDescent="0.25">
      <c r="F805" s="2"/>
      <c r="H805" s="2"/>
      <c r="O805" s="4"/>
      <c r="P805" s="3"/>
      <c r="R805" s="3"/>
    </row>
    <row r="806" spans="6:18" x14ac:dyDescent="0.25">
      <c r="F806" s="2"/>
      <c r="H806" s="2"/>
      <c r="O806" s="4"/>
      <c r="P806" s="3"/>
      <c r="R806" s="3"/>
    </row>
    <row r="807" spans="6:18" x14ac:dyDescent="0.25">
      <c r="F807" s="2"/>
      <c r="H807" s="2"/>
      <c r="O807" s="4"/>
      <c r="P807" s="3"/>
      <c r="R807" s="3"/>
    </row>
    <row r="808" spans="6:18" x14ac:dyDescent="0.25">
      <c r="F808" s="2"/>
      <c r="H808" s="2"/>
      <c r="O808" s="4"/>
      <c r="P808" s="3"/>
      <c r="R808" s="3"/>
    </row>
    <row r="809" spans="6:18" x14ac:dyDescent="0.25">
      <c r="F809" s="2"/>
      <c r="H809" s="2"/>
      <c r="O809" s="4"/>
      <c r="P809" s="3"/>
      <c r="R809" s="3"/>
    </row>
    <row r="810" spans="6:18" x14ac:dyDescent="0.25">
      <c r="F810" s="2"/>
      <c r="H810" s="2"/>
      <c r="O810" s="4"/>
      <c r="P810" s="3"/>
      <c r="R810" s="3"/>
    </row>
    <row r="811" spans="6:18" x14ac:dyDescent="0.25">
      <c r="F811" s="2"/>
      <c r="H811" s="2"/>
      <c r="O811" s="4"/>
      <c r="P811" s="3"/>
      <c r="R811" s="3"/>
    </row>
    <row r="812" spans="6:18" x14ac:dyDescent="0.25">
      <c r="F812" s="2"/>
      <c r="H812" s="2"/>
      <c r="O812" s="4"/>
      <c r="P812" s="3"/>
      <c r="R812" s="3"/>
    </row>
    <row r="813" spans="6:18" x14ac:dyDescent="0.25">
      <c r="F813" s="2"/>
      <c r="H813" s="2"/>
      <c r="O813" s="4"/>
      <c r="P813" s="3"/>
      <c r="R813" s="3"/>
    </row>
    <row r="814" spans="6:18" x14ac:dyDescent="0.25">
      <c r="F814" s="2"/>
      <c r="H814" s="2"/>
      <c r="O814" s="4"/>
      <c r="P814" s="3"/>
      <c r="R814" s="3"/>
    </row>
    <row r="815" spans="6:18" x14ac:dyDescent="0.25">
      <c r="F815" s="2"/>
      <c r="H815" s="2"/>
      <c r="O815" s="4"/>
      <c r="P815" s="3"/>
      <c r="R815" s="3"/>
    </row>
    <row r="816" spans="6:18" x14ac:dyDescent="0.25">
      <c r="F816" s="2"/>
      <c r="H816" s="2"/>
      <c r="O816" s="4"/>
      <c r="P816" s="3"/>
      <c r="R816" s="3"/>
    </row>
    <row r="817" spans="6:18" x14ac:dyDescent="0.25">
      <c r="F817" s="2"/>
      <c r="H817" s="2"/>
      <c r="O817" s="4"/>
      <c r="P817" s="3"/>
      <c r="R817" s="3"/>
    </row>
    <row r="818" spans="6:18" x14ac:dyDescent="0.25">
      <c r="F818" s="2"/>
      <c r="H818" s="2"/>
      <c r="O818" s="4"/>
      <c r="P818" s="3"/>
      <c r="R818" s="3"/>
    </row>
    <row r="819" spans="6:18" x14ac:dyDescent="0.25">
      <c r="F819" s="2"/>
      <c r="H819" s="2"/>
      <c r="O819" s="4"/>
      <c r="P819" s="3"/>
      <c r="R819" s="3"/>
    </row>
    <row r="820" spans="6:18" x14ac:dyDescent="0.25">
      <c r="F820" s="2"/>
      <c r="H820" s="2"/>
      <c r="O820" s="4"/>
      <c r="P820" s="3"/>
      <c r="R820" s="3"/>
    </row>
    <row r="821" spans="6:18" x14ac:dyDescent="0.25">
      <c r="F821" s="2"/>
      <c r="H821" s="2"/>
      <c r="O821" s="4"/>
      <c r="P821" s="3"/>
      <c r="R821" s="3"/>
    </row>
    <row r="822" spans="6:18" x14ac:dyDescent="0.25">
      <c r="F822" s="2"/>
      <c r="H822" s="2"/>
      <c r="O822" s="4"/>
      <c r="P822" s="3"/>
      <c r="R822" s="3"/>
    </row>
    <row r="823" spans="6:18" x14ac:dyDescent="0.25">
      <c r="F823" s="2"/>
      <c r="H823" s="2"/>
      <c r="O823" s="4"/>
      <c r="P823" s="3"/>
      <c r="R823" s="3"/>
    </row>
    <row r="824" spans="6:18" x14ac:dyDescent="0.25">
      <c r="F824" s="2"/>
      <c r="H824" s="2"/>
      <c r="O824" s="4"/>
      <c r="P824" s="3"/>
      <c r="R824" s="3"/>
    </row>
    <row r="825" spans="6:18" x14ac:dyDescent="0.25">
      <c r="F825" s="2"/>
      <c r="H825" s="2"/>
      <c r="O825" s="4"/>
      <c r="P825" s="3"/>
      <c r="R825" s="3"/>
    </row>
    <row r="826" spans="6:18" x14ac:dyDescent="0.25">
      <c r="F826" s="2"/>
      <c r="H826" s="2"/>
      <c r="O826" s="4"/>
      <c r="P826" s="3"/>
      <c r="R826" s="3"/>
    </row>
    <row r="827" spans="6:18" x14ac:dyDescent="0.25">
      <c r="F827" s="2"/>
      <c r="H827" s="2"/>
      <c r="O827" s="4"/>
      <c r="P827" s="3"/>
      <c r="R827" s="3"/>
    </row>
    <row r="828" spans="6:18" x14ac:dyDescent="0.25">
      <c r="F828" s="2"/>
      <c r="H828" s="2"/>
      <c r="O828" s="4"/>
      <c r="P828" s="3"/>
      <c r="R828" s="3"/>
    </row>
    <row r="829" spans="6:18" x14ac:dyDescent="0.25">
      <c r="F829" s="2"/>
      <c r="H829" s="2"/>
      <c r="O829" s="4"/>
      <c r="P829" s="3"/>
      <c r="R829" s="3"/>
    </row>
    <row r="830" spans="6:18" x14ac:dyDescent="0.25">
      <c r="F830" s="2"/>
      <c r="H830" s="2"/>
      <c r="O830" s="4"/>
      <c r="P830" s="3"/>
      <c r="R830" s="3"/>
    </row>
    <row r="831" spans="6:18" x14ac:dyDescent="0.25">
      <c r="F831" s="2"/>
      <c r="H831" s="2"/>
      <c r="O831" s="4"/>
      <c r="P831" s="3"/>
      <c r="R831" s="3"/>
    </row>
    <row r="832" spans="6:18" x14ac:dyDescent="0.25">
      <c r="F832" s="2"/>
      <c r="H832" s="2"/>
      <c r="O832" s="4"/>
      <c r="P832" s="3"/>
      <c r="R832" s="3"/>
    </row>
    <row r="833" spans="6:18" x14ac:dyDescent="0.25">
      <c r="F833" s="2"/>
      <c r="H833" s="2"/>
      <c r="O833" s="4"/>
      <c r="P833" s="3"/>
      <c r="R833" s="3"/>
    </row>
    <row r="834" spans="6:18" x14ac:dyDescent="0.25">
      <c r="F834" s="2"/>
      <c r="H834" s="2"/>
      <c r="O834" s="4"/>
      <c r="P834" s="3"/>
      <c r="R834" s="3"/>
    </row>
    <row r="835" spans="6:18" x14ac:dyDescent="0.25">
      <c r="F835" s="2"/>
      <c r="H835" s="2"/>
      <c r="O835" s="4"/>
      <c r="P835" s="3"/>
      <c r="R835" s="3"/>
    </row>
    <row r="836" spans="6:18" x14ac:dyDescent="0.25">
      <c r="F836" s="2"/>
      <c r="H836" s="2"/>
      <c r="O836" s="4"/>
      <c r="P836" s="3"/>
      <c r="R836" s="3"/>
    </row>
    <row r="837" spans="6:18" x14ac:dyDescent="0.25">
      <c r="F837" s="2"/>
      <c r="H837" s="2"/>
      <c r="O837" s="4"/>
      <c r="P837" s="3"/>
      <c r="R837" s="3"/>
    </row>
    <row r="838" spans="6:18" x14ac:dyDescent="0.25">
      <c r="F838" s="2"/>
      <c r="H838" s="2"/>
      <c r="O838" s="4"/>
      <c r="P838" s="3"/>
      <c r="R838" s="3"/>
    </row>
    <row r="839" spans="6:18" x14ac:dyDescent="0.25">
      <c r="F839" s="2"/>
      <c r="H839" s="2"/>
      <c r="O839" s="4"/>
      <c r="P839" s="3"/>
      <c r="R839" s="3"/>
    </row>
    <row r="840" spans="6:18" x14ac:dyDescent="0.25">
      <c r="F840" s="2"/>
      <c r="H840" s="2"/>
      <c r="O840" s="4"/>
      <c r="P840" s="3"/>
      <c r="R840" s="3"/>
    </row>
    <row r="841" spans="6:18" x14ac:dyDescent="0.25">
      <c r="F841" s="2"/>
      <c r="H841" s="2"/>
      <c r="O841" s="4"/>
      <c r="P841" s="3"/>
      <c r="R841" s="3"/>
    </row>
    <row r="842" spans="6:18" x14ac:dyDescent="0.25">
      <c r="F842" s="2"/>
      <c r="H842" s="2"/>
      <c r="O842" s="4"/>
      <c r="P842" s="3"/>
      <c r="R842" s="3"/>
    </row>
    <row r="843" spans="6:18" x14ac:dyDescent="0.25">
      <c r="F843" s="2"/>
      <c r="H843" s="2"/>
      <c r="O843" s="4"/>
      <c r="P843" s="3"/>
      <c r="R843" s="3"/>
    </row>
    <row r="844" spans="6:18" x14ac:dyDescent="0.25">
      <c r="F844" s="2"/>
      <c r="H844" s="2"/>
      <c r="O844" s="4"/>
      <c r="P844" s="3"/>
      <c r="R844" s="3"/>
    </row>
    <row r="845" spans="6:18" x14ac:dyDescent="0.25">
      <c r="F845" s="2"/>
      <c r="H845" s="2"/>
      <c r="O845" s="4"/>
      <c r="P845" s="3"/>
      <c r="R845" s="3"/>
    </row>
    <row r="846" spans="6:18" x14ac:dyDescent="0.25">
      <c r="F846" s="2"/>
      <c r="H846" s="2"/>
      <c r="O846" s="4"/>
      <c r="P846" s="3"/>
      <c r="R846" s="3"/>
    </row>
    <row r="847" spans="6:18" x14ac:dyDescent="0.25">
      <c r="F847" s="2"/>
      <c r="H847" s="2"/>
      <c r="O847" s="4"/>
      <c r="P847" s="3"/>
      <c r="R847" s="3"/>
    </row>
    <row r="848" spans="6:18" x14ac:dyDescent="0.25">
      <c r="F848" s="2"/>
      <c r="H848" s="2"/>
      <c r="O848" s="4"/>
      <c r="P848" s="3"/>
      <c r="R848" s="3"/>
    </row>
    <row r="849" spans="6:18" x14ac:dyDescent="0.25">
      <c r="F849" s="2"/>
      <c r="H849" s="2"/>
      <c r="O849" s="4"/>
      <c r="P849" s="3"/>
      <c r="R849" s="3"/>
    </row>
    <row r="850" spans="6:18" x14ac:dyDescent="0.25">
      <c r="F850" s="2"/>
      <c r="H850" s="2"/>
      <c r="O850" s="4"/>
      <c r="P850" s="3"/>
      <c r="R850" s="3"/>
    </row>
    <row r="851" spans="6:18" x14ac:dyDescent="0.25">
      <c r="F851" s="2"/>
      <c r="H851" s="2"/>
      <c r="O851" s="4"/>
      <c r="P851" s="3"/>
      <c r="R851" s="3"/>
    </row>
    <row r="852" spans="6:18" x14ac:dyDescent="0.25">
      <c r="F852" s="2"/>
      <c r="H852" s="2"/>
      <c r="O852" s="4"/>
      <c r="P852" s="3"/>
      <c r="R852" s="3"/>
    </row>
    <row r="853" spans="6:18" x14ac:dyDescent="0.25">
      <c r="F853" s="2"/>
      <c r="H853" s="2"/>
      <c r="O853" s="4"/>
      <c r="P853" s="3"/>
      <c r="R853" s="3"/>
    </row>
    <row r="854" spans="6:18" x14ac:dyDescent="0.25">
      <c r="F854" s="2"/>
      <c r="H854" s="2"/>
      <c r="O854" s="4"/>
      <c r="P854" s="3"/>
      <c r="R854" s="3"/>
    </row>
    <row r="855" spans="6:18" x14ac:dyDescent="0.25">
      <c r="F855" s="2"/>
      <c r="H855" s="2"/>
      <c r="O855" s="4"/>
      <c r="P855" s="3"/>
      <c r="R855" s="3"/>
    </row>
    <row r="856" spans="6:18" x14ac:dyDescent="0.25">
      <c r="F856" s="2"/>
      <c r="H856" s="2"/>
      <c r="O856" s="4"/>
      <c r="P856" s="3"/>
      <c r="R856" s="3"/>
    </row>
    <row r="857" spans="6:18" x14ac:dyDescent="0.25">
      <c r="F857" s="2"/>
      <c r="H857" s="2"/>
      <c r="O857" s="4"/>
      <c r="P857" s="3"/>
      <c r="R857" s="3"/>
    </row>
    <row r="858" spans="6:18" x14ac:dyDescent="0.25">
      <c r="F858" s="2"/>
      <c r="H858" s="2"/>
      <c r="O858" s="4"/>
      <c r="P858" s="3"/>
      <c r="R858" s="3"/>
    </row>
    <row r="859" spans="6:18" x14ac:dyDescent="0.25">
      <c r="F859" s="2"/>
      <c r="H859" s="2"/>
      <c r="O859" s="4"/>
      <c r="P859" s="3"/>
      <c r="R859" s="3"/>
    </row>
    <row r="860" spans="6:18" x14ac:dyDescent="0.25">
      <c r="F860" s="2"/>
      <c r="H860" s="2"/>
      <c r="O860" s="4"/>
      <c r="P860" s="3"/>
      <c r="R860" s="3"/>
    </row>
    <row r="861" spans="6:18" x14ac:dyDescent="0.25">
      <c r="F861" s="2"/>
      <c r="H861" s="2"/>
      <c r="O861" s="4"/>
      <c r="P861" s="3"/>
      <c r="R861" s="3"/>
    </row>
    <row r="862" spans="6:18" x14ac:dyDescent="0.25">
      <c r="F862" s="2"/>
      <c r="H862" s="2"/>
      <c r="O862" s="4"/>
      <c r="P862" s="3"/>
      <c r="R862" s="3"/>
    </row>
    <row r="863" spans="6:18" x14ac:dyDescent="0.25">
      <c r="F863" s="2"/>
      <c r="H863" s="2"/>
      <c r="O863" s="4"/>
      <c r="P863" s="3"/>
      <c r="R863" s="3"/>
    </row>
    <row r="864" spans="6:18" x14ac:dyDescent="0.25">
      <c r="F864" s="2"/>
      <c r="H864" s="2"/>
      <c r="O864" s="4"/>
      <c r="P864" s="3"/>
      <c r="R864" s="3"/>
    </row>
    <row r="865" spans="6:18" x14ac:dyDescent="0.25">
      <c r="F865" s="2"/>
      <c r="H865" s="2"/>
      <c r="O865" s="4"/>
      <c r="P865" s="3"/>
      <c r="R865" s="3"/>
    </row>
    <row r="866" spans="6:18" x14ac:dyDescent="0.25">
      <c r="F866" s="2"/>
      <c r="H866" s="2"/>
      <c r="O866" s="4"/>
      <c r="P866" s="3"/>
      <c r="R866" s="3"/>
    </row>
    <row r="867" spans="6:18" x14ac:dyDescent="0.25">
      <c r="F867" s="2"/>
      <c r="H867" s="2"/>
      <c r="O867" s="4"/>
      <c r="P867" s="3"/>
      <c r="R867" s="3"/>
    </row>
    <row r="868" spans="6:18" x14ac:dyDescent="0.25">
      <c r="F868" s="2"/>
      <c r="H868" s="2"/>
      <c r="O868" s="4"/>
      <c r="P868" s="3"/>
      <c r="R868" s="3"/>
    </row>
    <row r="869" spans="6:18" x14ac:dyDescent="0.25">
      <c r="F869" s="2"/>
      <c r="H869" s="2"/>
      <c r="O869" s="4"/>
      <c r="P869" s="3"/>
      <c r="R869" s="3"/>
    </row>
    <row r="870" spans="6:18" x14ac:dyDescent="0.25">
      <c r="F870" s="2"/>
      <c r="H870" s="2"/>
      <c r="O870" s="4"/>
      <c r="P870" s="3"/>
      <c r="R870" s="3"/>
    </row>
    <row r="871" spans="6:18" x14ac:dyDescent="0.25">
      <c r="F871" s="2"/>
      <c r="H871" s="2"/>
      <c r="O871" s="4"/>
      <c r="P871" s="3"/>
      <c r="R871" s="3"/>
    </row>
    <row r="872" spans="6:18" x14ac:dyDescent="0.25">
      <c r="F872" s="2"/>
      <c r="H872" s="2"/>
      <c r="O872" s="4"/>
      <c r="P872" s="3"/>
      <c r="R872" s="3"/>
    </row>
    <row r="873" spans="6:18" x14ac:dyDescent="0.25">
      <c r="F873" s="2"/>
      <c r="H873" s="2"/>
      <c r="O873" s="4"/>
      <c r="P873" s="3"/>
      <c r="R873" s="3"/>
    </row>
    <row r="874" spans="6:18" x14ac:dyDescent="0.25">
      <c r="F874" s="2"/>
      <c r="H874" s="2"/>
      <c r="O874" s="4"/>
      <c r="P874" s="3"/>
      <c r="R874" s="3"/>
    </row>
    <row r="875" spans="6:18" x14ac:dyDescent="0.25">
      <c r="F875" s="2"/>
      <c r="H875" s="2"/>
      <c r="O875" s="4"/>
      <c r="P875" s="3"/>
      <c r="R875" s="3"/>
    </row>
    <row r="876" spans="6:18" x14ac:dyDescent="0.25">
      <c r="F876" s="2"/>
      <c r="H876" s="2"/>
      <c r="O876" s="4"/>
      <c r="P876" s="3"/>
      <c r="R876" s="3"/>
    </row>
    <row r="877" spans="6:18" x14ac:dyDescent="0.25">
      <c r="F877" s="2"/>
      <c r="H877" s="2"/>
      <c r="O877" s="4"/>
      <c r="P877" s="3"/>
      <c r="R877" s="3"/>
    </row>
    <row r="878" spans="6:18" x14ac:dyDescent="0.25">
      <c r="F878" s="2"/>
      <c r="H878" s="2"/>
      <c r="O878" s="4"/>
      <c r="P878" s="3"/>
      <c r="R878" s="3"/>
    </row>
    <row r="879" spans="6:18" x14ac:dyDescent="0.25">
      <c r="F879" s="2"/>
      <c r="H879" s="2"/>
      <c r="O879" s="4"/>
      <c r="P879" s="3"/>
      <c r="R879" s="3"/>
    </row>
    <row r="880" spans="6:18" x14ac:dyDescent="0.25">
      <c r="F880" s="2"/>
      <c r="H880" s="2"/>
      <c r="O880" s="4"/>
      <c r="P880" s="3"/>
      <c r="R880" s="3"/>
    </row>
    <row r="881" spans="6:18" x14ac:dyDescent="0.25">
      <c r="F881" s="2"/>
      <c r="H881" s="2"/>
      <c r="O881" s="4"/>
      <c r="P881" s="3"/>
      <c r="R881" s="3"/>
    </row>
    <row r="882" spans="6:18" x14ac:dyDescent="0.25">
      <c r="F882" s="2"/>
      <c r="H882" s="2"/>
      <c r="O882" s="4"/>
      <c r="P882" s="3"/>
      <c r="R882" s="3"/>
    </row>
    <row r="883" spans="6:18" x14ac:dyDescent="0.25">
      <c r="F883" s="2"/>
      <c r="H883" s="2"/>
      <c r="O883" s="4"/>
      <c r="P883" s="3"/>
      <c r="R883" s="3"/>
    </row>
    <row r="884" spans="6:18" x14ac:dyDescent="0.25">
      <c r="F884" s="2"/>
      <c r="H884" s="2"/>
      <c r="O884" s="4"/>
      <c r="P884" s="3"/>
      <c r="R884" s="3"/>
    </row>
    <row r="885" spans="6:18" x14ac:dyDescent="0.25">
      <c r="F885" s="2"/>
      <c r="H885" s="2"/>
      <c r="O885" s="4"/>
      <c r="P885" s="3"/>
      <c r="R885" s="3"/>
    </row>
    <row r="886" spans="6:18" x14ac:dyDescent="0.25">
      <c r="F886" s="2"/>
      <c r="H886" s="2"/>
      <c r="O886" s="4"/>
      <c r="P886" s="3"/>
      <c r="R886" s="3"/>
    </row>
    <row r="887" spans="6:18" x14ac:dyDescent="0.25">
      <c r="F887" s="2"/>
      <c r="H887" s="2"/>
      <c r="O887" s="4"/>
      <c r="P887" s="3"/>
      <c r="R887" s="3"/>
    </row>
    <row r="888" spans="6:18" x14ac:dyDescent="0.25">
      <c r="F888" s="2"/>
      <c r="H888" s="2"/>
      <c r="O888" s="4"/>
      <c r="P888" s="3"/>
      <c r="R888" s="3"/>
    </row>
    <row r="889" spans="6:18" x14ac:dyDescent="0.25">
      <c r="F889" s="2"/>
      <c r="H889" s="2"/>
      <c r="O889" s="4"/>
      <c r="P889" s="3"/>
      <c r="R889" s="3"/>
    </row>
    <row r="890" spans="6:18" x14ac:dyDescent="0.25">
      <c r="F890" s="2"/>
      <c r="H890" s="2"/>
      <c r="O890" s="4"/>
      <c r="P890" s="3"/>
      <c r="R890" s="3"/>
    </row>
    <row r="891" spans="6:18" x14ac:dyDescent="0.25">
      <c r="F891" s="2"/>
      <c r="H891" s="2"/>
      <c r="O891" s="4"/>
      <c r="P891" s="3"/>
      <c r="R891" s="3"/>
    </row>
    <row r="892" spans="6:18" x14ac:dyDescent="0.25">
      <c r="F892" s="2"/>
      <c r="H892" s="2"/>
      <c r="O892" s="4"/>
      <c r="P892" s="3"/>
      <c r="R892" s="3"/>
    </row>
    <row r="893" spans="6:18" x14ac:dyDescent="0.25">
      <c r="F893" s="2"/>
      <c r="H893" s="2"/>
      <c r="O893" s="4"/>
      <c r="P893" s="3"/>
      <c r="R893" s="3"/>
    </row>
    <row r="894" spans="6:18" x14ac:dyDescent="0.25">
      <c r="F894" s="2"/>
      <c r="H894" s="2"/>
      <c r="O894" s="4"/>
      <c r="P894" s="3"/>
      <c r="R894" s="3"/>
    </row>
    <row r="895" spans="6:18" x14ac:dyDescent="0.25">
      <c r="F895" s="2"/>
      <c r="H895" s="2"/>
      <c r="O895" s="4"/>
      <c r="P895" s="3"/>
      <c r="R895" s="3"/>
    </row>
    <row r="896" spans="6:18" x14ac:dyDescent="0.25">
      <c r="F896" s="2"/>
      <c r="H896" s="2"/>
      <c r="O896" s="4"/>
      <c r="P896" s="3"/>
      <c r="R896" s="3"/>
    </row>
    <row r="897" spans="6:18" x14ac:dyDescent="0.25">
      <c r="F897" s="2"/>
      <c r="H897" s="2"/>
      <c r="O897" s="4"/>
      <c r="P897" s="3"/>
      <c r="R897" s="3"/>
    </row>
    <row r="898" spans="6:18" x14ac:dyDescent="0.25">
      <c r="F898" s="2"/>
      <c r="H898" s="2"/>
      <c r="O898" s="4"/>
      <c r="P898" s="3"/>
      <c r="R898" s="3"/>
    </row>
    <row r="899" spans="6:18" x14ac:dyDescent="0.25">
      <c r="F899" s="2"/>
      <c r="H899" s="2"/>
      <c r="O899" s="4"/>
      <c r="P899" s="3"/>
      <c r="R899" s="3"/>
    </row>
    <row r="900" spans="6:18" x14ac:dyDescent="0.25">
      <c r="F900" s="2"/>
      <c r="H900" s="2"/>
      <c r="O900" s="4"/>
      <c r="P900" s="3"/>
      <c r="R900" s="3"/>
    </row>
    <row r="901" spans="6:18" x14ac:dyDescent="0.25">
      <c r="F901" s="2"/>
      <c r="H901" s="2"/>
      <c r="O901" s="4"/>
      <c r="P901" s="3"/>
      <c r="R901" s="3"/>
    </row>
    <row r="902" spans="6:18" x14ac:dyDescent="0.25">
      <c r="F902" s="2"/>
      <c r="H902" s="2"/>
      <c r="O902" s="4"/>
      <c r="P902" s="3"/>
      <c r="R902" s="3"/>
    </row>
    <row r="903" spans="6:18" x14ac:dyDescent="0.25">
      <c r="F903" s="2"/>
      <c r="H903" s="2"/>
      <c r="O903" s="4"/>
      <c r="P903" s="3"/>
      <c r="R903" s="3"/>
    </row>
    <row r="904" spans="6:18" x14ac:dyDescent="0.25">
      <c r="F904" s="2"/>
      <c r="H904" s="2"/>
      <c r="O904" s="4"/>
      <c r="P904" s="3"/>
      <c r="R904" s="3"/>
    </row>
    <row r="905" spans="6:18" x14ac:dyDescent="0.25">
      <c r="F905" s="2"/>
      <c r="H905" s="2"/>
      <c r="O905" s="4"/>
      <c r="P905" s="3"/>
      <c r="R905" s="3"/>
    </row>
    <row r="906" spans="6:18" x14ac:dyDescent="0.25">
      <c r="F906" s="2"/>
      <c r="H906" s="2"/>
      <c r="O906" s="4"/>
      <c r="P906" s="3"/>
      <c r="R906" s="3"/>
    </row>
    <row r="907" spans="6:18" x14ac:dyDescent="0.25">
      <c r="F907" s="2"/>
      <c r="H907" s="2"/>
      <c r="O907" s="4"/>
      <c r="P907" s="3"/>
      <c r="R907" s="3"/>
    </row>
    <row r="908" spans="6:18" x14ac:dyDescent="0.25">
      <c r="F908" s="2"/>
      <c r="H908" s="2"/>
      <c r="O908" s="4"/>
      <c r="P908" s="3"/>
      <c r="R908" s="3"/>
    </row>
    <row r="909" spans="6:18" x14ac:dyDescent="0.25">
      <c r="F909" s="2"/>
      <c r="H909" s="2"/>
      <c r="O909" s="4"/>
      <c r="P909" s="3"/>
      <c r="R909" s="3"/>
    </row>
    <row r="910" spans="6:18" x14ac:dyDescent="0.25">
      <c r="F910" s="2"/>
      <c r="H910" s="2"/>
      <c r="O910" s="4"/>
      <c r="P910" s="3"/>
      <c r="R910" s="3"/>
    </row>
    <row r="911" spans="6:18" x14ac:dyDescent="0.25">
      <c r="F911" s="2"/>
      <c r="H911" s="2"/>
      <c r="O911" s="4"/>
      <c r="P911" s="3"/>
      <c r="R911" s="3"/>
    </row>
    <row r="912" spans="6:18" x14ac:dyDescent="0.25">
      <c r="F912" s="2"/>
      <c r="H912" s="2"/>
      <c r="O912" s="4"/>
      <c r="P912" s="3"/>
      <c r="R912" s="3"/>
    </row>
    <row r="913" spans="6:18" x14ac:dyDescent="0.25">
      <c r="F913" s="2"/>
      <c r="H913" s="2"/>
      <c r="O913" s="4"/>
      <c r="P913" s="3"/>
      <c r="R913" s="3"/>
    </row>
    <row r="914" spans="6:18" x14ac:dyDescent="0.25">
      <c r="F914" s="2"/>
      <c r="H914" s="2"/>
      <c r="O914" s="4"/>
      <c r="P914" s="3"/>
      <c r="R914" s="3"/>
    </row>
    <row r="915" spans="6:18" x14ac:dyDescent="0.25">
      <c r="F915" s="2"/>
      <c r="H915" s="2"/>
      <c r="O915" s="4"/>
      <c r="P915" s="3"/>
      <c r="R915" s="3"/>
    </row>
    <row r="916" spans="6:18" x14ac:dyDescent="0.25">
      <c r="F916" s="2"/>
      <c r="H916" s="2"/>
      <c r="O916" s="4"/>
      <c r="P916" s="3"/>
      <c r="R916" s="3"/>
    </row>
    <row r="917" spans="6:18" x14ac:dyDescent="0.25">
      <c r="F917" s="2"/>
      <c r="H917" s="2"/>
      <c r="O917" s="4"/>
      <c r="P917" s="3"/>
      <c r="R917" s="3"/>
    </row>
    <row r="918" spans="6:18" x14ac:dyDescent="0.25">
      <c r="F918" s="2"/>
      <c r="H918" s="2"/>
      <c r="O918" s="4"/>
      <c r="P918" s="3"/>
      <c r="R918" s="3"/>
    </row>
    <row r="919" spans="6:18" x14ac:dyDescent="0.25">
      <c r="F919" s="2"/>
      <c r="H919" s="2"/>
      <c r="O919" s="4"/>
      <c r="P919" s="3"/>
      <c r="R919" s="3"/>
    </row>
    <row r="920" spans="6:18" x14ac:dyDescent="0.25">
      <c r="F920" s="2"/>
      <c r="H920" s="2"/>
      <c r="O920" s="4"/>
      <c r="P920" s="3"/>
      <c r="R920" s="3"/>
    </row>
    <row r="921" spans="6:18" x14ac:dyDescent="0.25">
      <c r="F921" s="2"/>
      <c r="H921" s="2"/>
      <c r="O921" s="4"/>
      <c r="P921" s="3"/>
      <c r="R921" s="3"/>
    </row>
    <row r="922" spans="6:18" x14ac:dyDescent="0.25">
      <c r="F922" s="2"/>
      <c r="H922" s="2"/>
      <c r="O922" s="4"/>
      <c r="P922" s="3"/>
      <c r="R922" s="3"/>
    </row>
    <row r="923" spans="6:18" x14ac:dyDescent="0.25">
      <c r="F923" s="2"/>
      <c r="H923" s="2"/>
      <c r="O923" s="4"/>
      <c r="P923" s="3"/>
      <c r="R923" s="3"/>
    </row>
    <row r="924" spans="6:18" x14ac:dyDescent="0.25">
      <c r="F924" s="2"/>
      <c r="H924" s="2"/>
      <c r="O924" s="4"/>
      <c r="P924" s="3"/>
      <c r="R924" s="3"/>
    </row>
    <row r="925" spans="6:18" x14ac:dyDescent="0.25">
      <c r="F925" s="2"/>
      <c r="H925" s="2"/>
      <c r="O925" s="4"/>
      <c r="P925" s="3"/>
      <c r="R925" s="3"/>
    </row>
    <row r="926" spans="6:18" x14ac:dyDescent="0.25">
      <c r="F926" s="2"/>
      <c r="H926" s="2"/>
      <c r="O926" s="4"/>
      <c r="P926" s="3"/>
      <c r="R926" s="3"/>
    </row>
    <row r="927" spans="6:18" x14ac:dyDescent="0.25">
      <c r="F927" s="2"/>
      <c r="H927" s="2"/>
      <c r="O927" s="4"/>
      <c r="P927" s="3"/>
      <c r="R927" s="3"/>
    </row>
    <row r="928" spans="6:18" x14ac:dyDescent="0.25">
      <c r="F928" s="2"/>
      <c r="H928" s="2"/>
      <c r="O928" s="4"/>
      <c r="P928" s="3"/>
      <c r="R928" s="3"/>
    </row>
    <row r="929" spans="6:18" x14ac:dyDescent="0.25">
      <c r="F929" s="2"/>
      <c r="H929" s="2"/>
      <c r="O929" s="4"/>
      <c r="P929" s="3"/>
      <c r="R929" s="3"/>
    </row>
    <row r="930" spans="6:18" x14ac:dyDescent="0.25">
      <c r="F930" s="2"/>
      <c r="H930" s="2"/>
      <c r="O930" s="4"/>
      <c r="P930" s="3"/>
      <c r="R930" s="3"/>
    </row>
    <row r="931" spans="6:18" x14ac:dyDescent="0.25">
      <c r="F931" s="2"/>
      <c r="H931" s="2"/>
      <c r="O931" s="4"/>
      <c r="P931" s="3"/>
      <c r="R931" s="3"/>
    </row>
    <row r="932" spans="6:18" x14ac:dyDescent="0.25">
      <c r="F932" s="2"/>
      <c r="H932" s="2"/>
      <c r="O932" s="4"/>
      <c r="P932" s="3"/>
      <c r="R932" s="3"/>
    </row>
    <row r="933" spans="6:18" x14ac:dyDescent="0.25">
      <c r="F933" s="2"/>
      <c r="H933" s="2"/>
      <c r="O933" s="4"/>
      <c r="P933" s="3"/>
      <c r="R933" s="3"/>
    </row>
    <row r="934" spans="6:18" x14ac:dyDescent="0.25">
      <c r="F934" s="2"/>
      <c r="H934" s="2"/>
      <c r="O934" s="4"/>
      <c r="P934" s="3"/>
      <c r="R934" s="3"/>
    </row>
    <row r="935" spans="6:18" x14ac:dyDescent="0.25">
      <c r="F935" s="2"/>
      <c r="H935" s="2"/>
      <c r="O935" s="4"/>
      <c r="P935" s="3"/>
      <c r="R935" s="3"/>
    </row>
    <row r="936" spans="6:18" x14ac:dyDescent="0.25">
      <c r="F936" s="2"/>
      <c r="H936" s="2"/>
      <c r="O936" s="4"/>
      <c r="P936" s="3"/>
      <c r="R936" s="3"/>
    </row>
    <row r="937" spans="6:18" x14ac:dyDescent="0.25">
      <c r="F937" s="2"/>
      <c r="H937" s="2"/>
      <c r="O937" s="4"/>
      <c r="P937" s="3"/>
      <c r="R937" s="3"/>
    </row>
    <row r="938" spans="6:18" x14ac:dyDescent="0.25">
      <c r="F938" s="2"/>
      <c r="H938" s="2"/>
      <c r="O938" s="4"/>
      <c r="P938" s="3"/>
      <c r="R938" s="3"/>
    </row>
    <row r="939" spans="6:18" x14ac:dyDescent="0.25">
      <c r="F939" s="2"/>
      <c r="H939" s="2"/>
      <c r="O939" s="4"/>
      <c r="P939" s="3"/>
      <c r="R939" s="3"/>
    </row>
    <row r="940" spans="6:18" x14ac:dyDescent="0.25">
      <c r="F940" s="2"/>
      <c r="H940" s="2"/>
      <c r="O940" s="4"/>
      <c r="P940" s="3"/>
      <c r="R940" s="3"/>
    </row>
    <row r="941" spans="6:18" x14ac:dyDescent="0.25">
      <c r="F941" s="2"/>
      <c r="H941" s="2"/>
      <c r="O941" s="4"/>
      <c r="P941" s="3"/>
      <c r="R941" s="3"/>
    </row>
    <row r="942" spans="6:18" x14ac:dyDescent="0.25">
      <c r="F942" s="2"/>
      <c r="H942" s="2"/>
      <c r="O942" s="4"/>
      <c r="P942" s="3"/>
      <c r="R942" s="3"/>
    </row>
    <row r="943" spans="6:18" x14ac:dyDescent="0.25">
      <c r="F943" s="2"/>
      <c r="H943" s="2"/>
      <c r="O943" s="4"/>
      <c r="P943" s="3"/>
      <c r="R943" s="3"/>
    </row>
    <row r="944" spans="6:18" x14ac:dyDescent="0.25">
      <c r="F944" s="2"/>
      <c r="H944" s="2"/>
      <c r="O944" s="4"/>
      <c r="P944" s="3"/>
      <c r="R944" s="3"/>
    </row>
    <row r="945" spans="6:18" x14ac:dyDescent="0.25">
      <c r="F945" s="2"/>
      <c r="H945" s="2"/>
      <c r="O945" s="4"/>
      <c r="P945" s="3"/>
      <c r="R945" s="3"/>
    </row>
    <row r="946" spans="6:18" x14ac:dyDescent="0.25">
      <c r="F946" s="2"/>
      <c r="H946" s="2"/>
      <c r="O946" s="4"/>
      <c r="P946" s="3"/>
      <c r="R946" s="3"/>
    </row>
    <row r="947" spans="6:18" x14ac:dyDescent="0.25">
      <c r="F947" s="2"/>
      <c r="H947" s="2"/>
      <c r="O947" s="4"/>
      <c r="P947" s="3"/>
      <c r="R947" s="3"/>
    </row>
    <row r="948" spans="6:18" x14ac:dyDescent="0.25">
      <c r="F948" s="2"/>
      <c r="H948" s="2"/>
      <c r="O948" s="4"/>
      <c r="P948" s="3"/>
      <c r="R948" s="3"/>
    </row>
    <row r="949" spans="6:18" x14ac:dyDescent="0.25">
      <c r="F949" s="2"/>
      <c r="H949" s="2"/>
      <c r="O949" s="4"/>
      <c r="P949" s="3"/>
      <c r="R949" s="3"/>
    </row>
    <row r="950" spans="6:18" x14ac:dyDescent="0.25">
      <c r="F950" s="2"/>
      <c r="H950" s="2"/>
      <c r="O950" s="4"/>
      <c r="P950" s="3"/>
      <c r="R950" s="3"/>
    </row>
    <row r="951" spans="6:18" x14ac:dyDescent="0.25">
      <c r="F951" s="2"/>
      <c r="H951" s="2"/>
      <c r="O951" s="4"/>
      <c r="P951" s="3"/>
      <c r="R951" s="3"/>
    </row>
    <row r="952" spans="6:18" x14ac:dyDescent="0.25">
      <c r="F952" s="2"/>
      <c r="H952" s="2"/>
      <c r="O952" s="4"/>
      <c r="P952" s="3"/>
      <c r="R952" s="3"/>
    </row>
    <row r="953" spans="6:18" x14ac:dyDescent="0.25">
      <c r="F953" s="2"/>
      <c r="H953" s="2"/>
      <c r="O953" s="4"/>
      <c r="P953" s="3"/>
      <c r="R953" s="3"/>
    </row>
    <row r="954" spans="6:18" x14ac:dyDescent="0.25">
      <c r="F954" s="2"/>
      <c r="H954" s="2"/>
      <c r="O954" s="4"/>
      <c r="P954" s="3"/>
      <c r="R954" s="3"/>
    </row>
    <row r="955" spans="6:18" x14ac:dyDescent="0.25">
      <c r="F955" s="2"/>
      <c r="H955" s="2"/>
      <c r="O955" s="4"/>
      <c r="P955" s="3"/>
      <c r="R955" s="3"/>
    </row>
    <row r="956" spans="6:18" x14ac:dyDescent="0.25">
      <c r="F956" s="2"/>
      <c r="H956" s="2"/>
      <c r="O956" s="4"/>
      <c r="P956" s="3"/>
      <c r="R956" s="3"/>
    </row>
    <row r="957" spans="6:18" x14ac:dyDescent="0.25">
      <c r="F957" s="2"/>
      <c r="H957" s="2"/>
      <c r="O957" s="4"/>
      <c r="P957" s="3"/>
      <c r="R957" s="3"/>
    </row>
    <row r="958" spans="6:18" x14ac:dyDescent="0.25">
      <c r="F958" s="2"/>
      <c r="H958" s="2"/>
      <c r="O958" s="4"/>
      <c r="P958" s="3"/>
      <c r="R958" s="3"/>
    </row>
    <row r="959" spans="6:18" x14ac:dyDescent="0.25">
      <c r="F959" s="2"/>
      <c r="H959" s="2"/>
      <c r="O959" s="4"/>
      <c r="P959" s="3"/>
      <c r="R959" s="3"/>
    </row>
    <row r="960" spans="6:18" x14ac:dyDescent="0.25">
      <c r="F960" s="2"/>
      <c r="H960" s="2"/>
      <c r="O960" s="4"/>
      <c r="P960" s="3"/>
      <c r="R960" s="3"/>
    </row>
    <row r="961" spans="6:18" x14ac:dyDescent="0.25">
      <c r="F961" s="2"/>
      <c r="H961" s="2"/>
      <c r="O961" s="4"/>
      <c r="P961" s="3"/>
      <c r="R961" s="3"/>
    </row>
    <row r="962" spans="6:18" x14ac:dyDescent="0.25">
      <c r="F962" s="2"/>
      <c r="H962" s="2"/>
      <c r="O962" s="4"/>
      <c r="P962" s="3"/>
      <c r="R962" s="3"/>
    </row>
    <row r="963" spans="6:18" x14ac:dyDescent="0.25">
      <c r="F963" s="2"/>
      <c r="H963" s="2"/>
      <c r="O963" s="4"/>
      <c r="P963" s="3"/>
      <c r="R963" s="3"/>
    </row>
    <row r="964" spans="6:18" x14ac:dyDescent="0.25">
      <c r="F964" s="2"/>
      <c r="H964" s="2"/>
      <c r="O964" s="4"/>
      <c r="P964" s="3"/>
      <c r="R964" s="3"/>
    </row>
    <row r="965" spans="6:18" x14ac:dyDescent="0.25">
      <c r="F965" s="2"/>
      <c r="H965" s="2"/>
      <c r="O965" s="4"/>
      <c r="P965" s="3"/>
      <c r="R965" s="3"/>
    </row>
    <row r="966" spans="6:18" x14ac:dyDescent="0.25">
      <c r="F966" s="2"/>
      <c r="H966" s="2"/>
      <c r="O966" s="4"/>
      <c r="P966" s="3"/>
      <c r="R966" s="3"/>
    </row>
    <row r="967" spans="6:18" x14ac:dyDescent="0.25">
      <c r="F967" s="2"/>
      <c r="H967" s="2"/>
      <c r="O967" s="4"/>
      <c r="P967" s="3"/>
      <c r="R967" s="3"/>
    </row>
    <row r="968" spans="6:18" x14ac:dyDescent="0.25">
      <c r="F968" s="2"/>
      <c r="H968" s="2"/>
      <c r="O968" s="4"/>
      <c r="P968" s="3"/>
      <c r="R968" s="3"/>
    </row>
    <row r="969" spans="6:18" x14ac:dyDescent="0.25">
      <c r="F969" s="2"/>
      <c r="H969" s="2"/>
      <c r="O969" s="4"/>
      <c r="P969" s="3"/>
      <c r="R969" s="3"/>
    </row>
    <row r="970" spans="6:18" x14ac:dyDescent="0.25">
      <c r="F970" s="2"/>
      <c r="H970" s="2"/>
      <c r="O970" s="4"/>
      <c r="P970" s="3"/>
      <c r="R970" s="3"/>
    </row>
    <row r="971" spans="6:18" x14ac:dyDescent="0.25">
      <c r="F971" s="2"/>
      <c r="H971" s="2"/>
      <c r="O971" s="4"/>
      <c r="P971" s="3"/>
      <c r="R971" s="3"/>
    </row>
    <row r="972" spans="6:18" x14ac:dyDescent="0.25">
      <c r="F972" s="2"/>
      <c r="H972" s="2"/>
      <c r="O972" s="4"/>
      <c r="P972" s="3"/>
      <c r="R972" s="3"/>
    </row>
    <row r="973" spans="6:18" x14ac:dyDescent="0.25">
      <c r="F973" s="2"/>
      <c r="H973" s="2"/>
      <c r="O973" s="4"/>
      <c r="P973" s="3"/>
      <c r="R973" s="3"/>
    </row>
    <row r="974" spans="6:18" x14ac:dyDescent="0.25">
      <c r="F974" s="2"/>
      <c r="H974" s="2"/>
      <c r="O974" s="4"/>
      <c r="P974" s="3"/>
      <c r="R974" s="3"/>
    </row>
    <row r="975" spans="6:18" x14ac:dyDescent="0.25">
      <c r="F975" s="2"/>
      <c r="H975" s="2"/>
      <c r="O975" s="4"/>
      <c r="P975" s="3"/>
      <c r="R975" s="3"/>
    </row>
    <row r="976" spans="6:18" x14ac:dyDescent="0.25">
      <c r="F976" s="2"/>
      <c r="H976" s="2"/>
      <c r="O976" s="4"/>
      <c r="P976" s="3"/>
      <c r="R976" s="3"/>
    </row>
    <row r="977" spans="6:18" x14ac:dyDescent="0.25">
      <c r="F977" s="2"/>
      <c r="H977" s="2"/>
      <c r="O977" s="4"/>
      <c r="P977" s="3"/>
      <c r="R977" s="3"/>
    </row>
    <row r="978" spans="6:18" x14ac:dyDescent="0.25">
      <c r="F978" s="2"/>
      <c r="H978" s="2"/>
      <c r="O978" s="4"/>
      <c r="P978" s="3"/>
      <c r="R978" s="3"/>
    </row>
    <row r="979" spans="6:18" x14ac:dyDescent="0.25">
      <c r="F979" s="2"/>
      <c r="H979" s="2"/>
      <c r="O979" s="4"/>
      <c r="P979" s="3"/>
      <c r="R979" s="3"/>
    </row>
    <row r="980" spans="6:18" x14ac:dyDescent="0.25">
      <c r="F980" s="2"/>
      <c r="H980" s="2"/>
      <c r="O980" s="4"/>
      <c r="P980" s="3"/>
      <c r="R980" s="3"/>
    </row>
    <row r="981" spans="6:18" x14ac:dyDescent="0.25">
      <c r="F981" s="2"/>
      <c r="H981" s="2"/>
      <c r="O981" s="4"/>
      <c r="P981" s="3"/>
      <c r="R981" s="3"/>
    </row>
    <row r="982" spans="6:18" x14ac:dyDescent="0.25">
      <c r="F982" s="2"/>
      <c r="H982" s="2"/>
      <c r="O982" s="4"/>
      <c r="P982" s="3"/>
      <c r="R982" s="3"/>
    </row>
    <row r="983" spans="6:18" x14ac:dyDescent="0.25">
      <c r="F983" s="2"/>
      <c r="H983" s="2"/>
      <c r="O983" s="4"/>
      <c r="P983" s="3"/>
      <c r="R983" s="3"/>
    </row>
    <row r="984" spans="6:18" x14ac:dyDescent="0.25">
      <c r="F984" s="2"/>
      <c r="H984" s="2"/>
      <c r="O984" s="4"/>
      <c r="P984" s="3"/>
      <c r="R984" s="3"/>
    </row>
    <row r="985" spans="6:18" x14ac:dyDescent="0.25">
      <c r="F985" s="2"/>
      <c r="H985" s="2"/>
      <c r="O985" s="4"/>
      <c r="P985" s="3"/>
      <c r="R985" s="3"/>
    </row>
    <row r="986" spans="6:18" x14ac:dyDescent="0.25">
      <c r="F986" s="2"/>
      <c r="H986" s="2"/>
      <c r="O986" s="4"/>
      <c r="P986" s="3"/>
      <c r="R986" s="3"/>
    </row>
    <row r="987" spans="6:18" x14ac:dyDescent="0.25">
      <c r="F987" s="2"/>
      <c r="H987" s="2"/>
      <c r="O987" s="4"/>
      <c r="P987" s="3"/>
      <c r="R987" s="3"/>
    </row>
    <row r="988" spans="6:18" x14ac:dyDescent="0.25">
      <c r="F988" s="2"/>
      <c r="H988" s="2"/>
      <c r="O988" s="4"/>
      <c r="P988" s="3"/>
      <c r="R988" s="3"/>
    </row>
    <row r="989" spans="6:18" x14ac:dyDescent="0.25">
      <c r="F989" s="2"/>
      <c r="H989" s="2"/>
      <c r="O989" s="4"/>
      <c r="P989" s="3"/>
      <c r="R989" s="3"/>
    </row>
    <row r="990" spans="6:18" x14ac:dyDescent="0.25">
      <c r="F990" s="2"/>
      <c r="H990" s="2"/>
      <c r="O990" s="4"/>
      <c r="P990" s="3"/>
      <c r="R990" s="3"/>
    </row>
    <row r="991" spans="6:18" x14ac:dyDescent="0.25">
      <c r="F991" s="2"/>
      <c r="H991" s="2"/>
      <c r="O991" s="4"/>
      <c r="P991" s="3"/>
      <c r="R991" s="3"/>
    </row>
    <row r="992" spans="6:18" x14ac:dyDescent="0.25">
      <c r="F992" s="2"/>
      <c r="H992" s="2"/>
      <c r="O992" s="4"/>
      <c r="P992" s="3"/>
      <c r="R992" s="3"/>
    </row>
    <row r="993" spans="6:18" x14ac:dyDescent="0.25">
      <c r="F993" s="2"/>
      <c r="H993" s="2"/>
      <c r="O993" s="4"/>
      <c r="P993" s="3"/>
      <c r="R993" s="3"/>
    </row>
    <row r="994" spans="6:18" x14ac:dyDescent="0.25">
      <c r="F994" s="2"/>
      <c r="H994" s="2"/>
      <c r="O994" s="4"/>
      <c r="P994" s="3"/>
      <c r="R994" s="3"/>
    </row>
    <row r="995" spans="6:18" x14ac:dyDescent="0.25">
      <c r="F995" s="2"/>
      <c r="H995" s="2"/>
      <c r="O995" s="4"/>
      <c r="P995" s="3"/>
      <c r="R995" s="3"/>
    </row>
    <row r="996" spans="6:18" x14ac:dyDescent="0.25">
      <c r="F996" s="2"/>
      <c r="H996" s="2"/>
      <c r="O996" s="4"/>
      <c r="P996" s="3"/>
      <c r="R996" s="3"/>
    </row>
    <row r="997" spans="6:18" x14ac:dyDescent="0.25">
      <c r="F997" s="2"/>
      <c r="H997" s="2"/>
      <c r="O997" s="4"/>
      <c r="P997" s="3"/>
      <c r="R997" s="3"/>
    </row>
    <row r="998" spans="6:18" x14ac:dyDescent="0.25">
      <c r="F998" s="2"/>
      <c r="H998" s="2"/>
      <c r="O998" s="4"/>
      <c r="P998" s="3"/>
      <c r="R998" s="3"/>
    </row>
    <row r="999" spans="6:18" x14ac:dyDescent="0.25">
      <c r="F999" s="2"/>
      <c r="H999" s="2"/>
      <c r="O999" s="4"/>
      <c r="P999" s="3"/>
      <c r="R999" s="3"/>
    </row>
    <row r="1000" spans="6:18" x14ac:dyDescent="0.25">
      <c r="F1000" s="2"/>
      <c r="H1000" s="2"/>
      <c r="O1000" s="4"/>
      <c r="P1000" s="3"/>
      <c r="R1000" s="3"/>
    </row>
  </sheetData>
  <conditionalFormatting sqref="L1:L1000">
    <cfRule type="cellIs" dxfId="1" priority="1" operator="lessThan">
      <formula>1000000</formula>
    </cfRule>
    <cfRule type="cellIs" dxfId="0" priority="2" operator="greaterThan">
      <formula>2000000</formula>
    </cfRule>
    <cfRule type="colorScale" priority="3">
      <colorScale>
        <cfvo type="min"/>
        <cfvo type="max"/>
        <color rgb="FFFF0000"/>
        <color rgb="FF00FF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2"/>
  <sheetViews>
    <sheetView showGridLines="0" tabSelected="1" workbookViewId="0"/>
  </sheetViews>
  <sheetFormatPr defaultColWidth="12.6640625" defaultRowHeight="15.75" customHeight="1" x14ac:dyDescent="0.25"/>
  <cols>
    <col min="1" max="1" width="29.88671875" customWidth="1"/>
    <col min="2" max="2" width="20.44140625" customWidth="1"/>
    <col min="4" max="4" width="21.6640625" customWidth="1"/>
    <col min="6" max="6" width="22" customWidth="1"/>
  </cols>
  <sheetData>
    <row r="1" spans="1:6" x14ac:dyDescent="0.25">
      <c r="A1" s="5" t="s">
        <v>0</v>
      </c>
      <c r="B1" s="6" t="s">
        <v>121</v>
      </c>
      <c r="C1" s="5" t="s">
        <v>14</v>
      </c>
      <c r="D1" s="6" t="s">
        <v>121</v>
      </c>
      <c r="E1" s="5" t="s">
        <v>16</v>
      </c>
      <c r="F1" s="6" t="s">
        <v>121</v>
      </c>
    </row>
    <row r="2" spans="1:6" x14ac:dyDescent="0.25">
      <c r="A2" s="7" t="s">
        <v>47</v>
      </c>
      <c r="B2" s="13">
        <v>21347091.020000003</v>
      </c>
      <c r="C2" s="10" t="s">
        <v>122</v>
      </c>
      <c r="D2" s="13">
        <v>3410661.1199999996</v>
      </c>
      <c r="E2" s="7" t="s">
        <v>22</v>
      </c>
      <c r="F2" s="13">
        <v>10350327.6</v>
      </c>
    </row>
    <row r="3" spans="1:6" x14ac:dyDescent="0.25">
      <c r="A3" s="8" t="s">
        <v>20</v>
      </c>
      <c r="B3" s="14">
        <v>14094265.130000003</v>
      </c>
      <c r="C3" s="11" t="s">
        <v>123</v>
      </c>
      <c r="D3" s="14">
        <v>2587973.2599999998</v>
      </c>
      <c r="E3" s="8" t="s">
        <v>58</v>
      </c>
      <c r="F3" s="14">
        <v>2690794.6</v>
      </c>
    </row>
    <row r="4" spans="1:6" x14ac:dyDescent="0.25">
      <c r="A4" s="8" t="s">
        <v>25</v>
      </c>
      <c r="B4" s="14">
        <v>9170385.4900000002</v>
      </c>
      <c r="C4" s="11" t="s">
        <v>124</v>
      </c>
      <c r="D4" s="14">
        <v>1082418.3999999999</v>
      </c>
      <c r="E4" s="8" t="s">
        <v>27</v>
      </c>
      <c r="F4" s="14">
        <v>5322898.9000000004</v>
      </c>
    </row>
    <row r="5" spans="1:6" x14ac:dyDescent="0.25">
      <c r="A5" s="8" t="s">
        <v>30</v>
      </c>
      <c r="B5" s="14">
        <v>33368932.109999999</v>
      </c>
      <c r="C5" s="11" t="s">
        <v>125</v>
      </c>
      <c r="D5" s="14">
        <v>6064933.75</v>
      </c>
      <c r="E5" s="8" t="s">
        <v>50</v>
      </c>
      <c r="F5" s="14">
        <v>7787292.799999998</v>
      </c>
    </row>
    <row r="6" spans="1:6" x14ac:dyDescent="0.25">
      <c r="A6" s="8" t="s">
        <v>77</v>
      </c>
      <c r="B6" s="14">
        <v>14052706.58</v>
      </c>
      <c r="C6" s="11" t="s">
        <v>126</v>
      </c>
      <c r="D6" s="14">
        <v>3458252</v>
      </c>
      <c r="E6" s="8" t="s">
        <v>56</v>
      </c>
      <c r="F6" s="14">
        <v>36601509.600000001</v>
      </c>
    </row>
    <row r="7" spans="1:6" x14ac:dyDescent="0.25">
      <c r="A7" s="8" t="s">
        <v>104</v>
      </c>
      <c r="B7" s="14">
        <v>5643356.5500000007</v>
      </c>
      <c r="C7" s="11" t="s">
        <v>127</v>
      </c>
      <c r="D7" s="14">
        <v>2581786.39</v>
      </c>
      <c r="E7" s="8" t="s">
        <v>36</v>
      </c>
      <c r="F7" s="14">
        <v>466481.34</v>
      </c>
    </row>
    <row r="8" spans="1:6" x14ac:dyDescent="0.25">
      <c r="A8" s="8" t="s">
        <v>34</v>
      </c>
      <c r="B8" s="14">
        <v>39672031.430000007</v>
      </c>
      <c r="C8" s="11" t="s">
        <v>128</v>
      </c>
      <c r="D8" s="14">
        <v>1042225.3500000001</v>
      </c>
      <c r="E8" s="8" t="s">
        <v>40</v>
      </c>
      <c r="F8" s="14">
        <v>29889712.289999995</v>
      </c>
    </row>
    <row r="9" spans="1:6" x14ac:dyDescent="0.25">
      <c r="A9" s="9" t="s">
        <v>129</v>
      </c>
      <c r="B9" s="15">
        <v>137348768.31</v>
      </c>
      <c r="C9" s="11" t="s">
        <v>130</v>
      </c>
      <c r="D9" s="14">
        <v>387002.2</v>
      </c>
      <c r="E9" s="8" t="s">
        <v>61</v>
      </c>
      <c r="F9" s="14">
        <v>4503675.75</v>
      </c>
    </row>
    <row r="10" spans="1:6" x14ac:dyDescent="0.25">
      <c r="C10" s="11" t="s">
        <v>131</v>
      </c>
      <c r="D10" s="14">
        <v>2798046.49</v>
      </c>
      <c r="E10" s="8" t="s">
        <v>32</v>
      </c>
      <c r="F10" s="14">
        <v>30585380.07</v>
      </c>
    </row>
    <row r="11" spans="1:6" x14ac:dyDescent="0.25">
      <c r="C11" s="11" t="s">
        <v>132</v>
      </c>
      <c r="D11" s="14">
        <v>272410.45</v>
      </c>
      <c r="E11" s="8" t="s">
        <v>45</v>
      </c>
      <c r="F11" s="14">
        <v>3980904.8400000003</v>
      </c>
    </row>
    <row r="12" spans="1:6" x14ac:dyDescent="0.25">
      <c r="C12" s="11" t="s">
        <v>133</v>
      </c>
      <c r="D12" s="14">
        <v>19103.439999999999</v>
      </c>
      <c r="E12" s="8" t="s">
        <v>64</v>
      </c>
      <c r="F12" s="14">
        <v>2080733.46</v>
      </c>
    </row>
    <row r="13" spans="1:6" x14ac:dyDescent="0.25">
      <c r="C13" s="11" t="s">
        <v>134</v>
      </c>
      <c r="D13" s="14">
        <v>97040.639999999999</v>
      </c>
      <c r="E13" s="8" t="s">
        <v>43</v>
      </c>
      <c r="F13" s="14">
        <v>3089057.06</v>
      </c>
    </row>
    <row r="14" spans="1:6" x14ac:dyDescent="0.25">
      <c r="C14" s="11" t="s">
        <v>135</v>
      </c>
      <c r="D14" s="14">
        <v>574951.92000000004</v>
      </c>
      <c r="E14" s="9" t="s">
        <v>129</v>
      </c>
      <c r="F14" s="15">
        <v>137348768.31</v>
      </c>
    </row>
    <row r="15" spans="1:6" x14ac:dyDescent="0.25">
      <c r="C15" s="11" t="s">
        <v>136</v>
      </c>
      <c r="D15" s="14">
        <v>5938385.580000001</v>
      </c>
    </row>
    <row r="16" spans="1:6" x14ac:dyDescent="0.25">
      <c r="C16" s="11" t="s">
        <v>137</v>
      </c>
      <c r="D16" s="14">
        <v>1012884</v>
      </c>
    </row>
    <row r="17" spans="3:4" x14ac:dyDescent="0.25">
      <c r="C17" s="11" t="s">
        <v>138</v>
      </c>
      <c r="D17" s="14">
        <v>6707849.4199999999</v>
      </c>
    </row>
    <row r="18" spans="3:4" x14ac:dyDescent="0.25">
      <c r="C18" s="11" t="s">
        <v>139</v>
      </c>
      <c r="D18" s="14">
        <v>994765.42</v>
      </c>
    </row>
    <row r="19" spans="3:4" x14ac:dyDescent="0.25">
      <c r="C19" s="11" t="s">
        <v>140</v>
      </c>
      <c r="D19" s="14">
        <v>4556012.38</v>
      </c>
    </row>
    <row r="20" spans="3:4" x14ac:dyDescent="0.25">
      <c r="C20" s="11" t="s">
        <v>141</v>
      </c>
      <c r="D20" s="14">
        <v>3782781.82</v>
      </c>
    </row>
    <row r="21" spans="3:4" x14ac:dyDescent="0.25">
      <c r="C21" s="11" t="s">
        <v>142</v>
      </c>
      <c r="D21" s="14">
        <v>2132075.27</v>
      </c>
    </row>
    <row r="22" spans="3:4" x14ac:dyDescent="0.25">
      <c r="C22" s="11" t="s">
        <v>143</v>
      </c>
      <c r="D22" s="14">
        <v>4445093.92</v>
      </c>
    </row>
    <row r="23" spans="3:4" x14ac:dyDescent="0.25">
      <c r="C23" s="11" t="s">
        <v>144</v>
      </c>
      <c r="D23" s="14">
        <v>576782.80000000005</v>
      </c>
    </row>
    <row r="24" spans="3:4" x14ac:dyDescent="0.25">
      <c r="C24" s="11" t="s">
        <v>145</v>
      </c>
      <c r="D24" s="14">
        <v>4648152.7200000007</v>
      </c>
    </row>
    <row r="25" spans="3:4" x14ac:dyDescent="0.25">
      <c r="C25" s="11" t="s">
        <v>146</v>
      </c>
      <c r="D25" s="14">
        <v>3042246.7699999996</v>
      </c>
    </row>
    <row r="26" spans="3:4" x14ac:dyDescent="0.25">
      <c r="C26" s="11" t="s">
        <v>147</v>
      </c>
      <c r="D26" s="14">
        <v>3296425.02</v>
      </c>
    </row>
    <row r="27" spans="3:4" x14ac:dyDescent="0.25">
      <c r="C27" s="11" t="s">
        <v>148</v>
      </c>
      <c r="D27" s="14">
        <v>835759.1</v>
      </c>
    </row>
    <row r="28" spans="3:4" x14ac:dyDescent="0.25">
      <c r="C28" s="11" t="s">
        <v>149</v>
      </c>
      <c r="D28" s="14">
        <v>3262562.1</v>
      </c>
    </row>
    <row r="29" spans="3:4" x14ac:dyDescent="0.25">
      <c r="C29" s="11" t="s">
        <v>150</v>
      </c>
      <c r="D29" s="14">
        <v>1352867.4</v>
      </c>
    </row>
    <row r="30" spans="3:4" x14ac:dyDescent="0.25">
      <c r="C30" s="11" t="s">
        <v>151</v>
      </c>
      <c r="D30" s="14">
        <v>8545511.1999999993</v>
      </c>
    </row>
    <row r="31" spans="3:4" x14ac:dyDescent="0.25">
      <c r="C31" s="11" t="s">
        <v>152</v>
      </c>
      <c r="D31" s="14">
        <v>89623.98</v>
      </c>
    </row>
    <row r="32" spans="3:4" x14ac:dyDescent="0.25">
      <c r="C32" s="11" t="s">
        <v>153</v>
      </c>
      <c r="D32" s="14">
        <v>71253.210000000006</v>
      </c>
    </row>
    <row r="33" spans="3:4" x14ac:dyDescent="0.25">
      <c r="C33" s="11" t="s">
        <v>154</v>
      </c>
      <c r="D33" s="14">
        <v>2702770.4</v>
      </c>
    </row>
    <row r="34" spans="3:4" x14ac:dyDescent="0.25">
      <c r="C34" s="11" t="s">
        <v>155</v>
      </c>
      <c r="D34" s="14">
        <v>173676.25</v>
      </c>
    </row>
    <row r="35" spans="3:4" x14ac:dyDescent="0.25">
      <c r="C35" s="11" t="s">
        <v>156</v>
      </c>
      <c r="D35" s="14">
        <v>1819660.25</v>
      </c>
    </row>
    <row r="36" spans="3:4" x14ac:dyDescent="0.25">
      <c r="C36" s="11" t="s">
        <v>157</v>
      </c>
      <c r="D36" s="14">
        <v>4510578.0999999996</v>
      </c>
    </row>
    <row r="37" spans="3:4" x14ac:dyDescent="0.25">
      <c r="C37" s="11" t="s">
        <v>158</v>
      </c>
      <c r="D37" s="14">
        <v>3060338.59</v>
      </c>
    </row>
    <row r="38" spans="3:4" x14ac:dyDescent="0.25">
      <c r="C38" s="11" t="s">
        <v>159</v>
      </c>
      <c r="D38" s="14">
        <v>75591.66</v>
      </c>
    </row>
    <row r="39" spans="3:4" x14ac:dyDescent="0.25">
      <c r="C39" s="11" t="s">
        <v>160</v>
      </c>
      <c r="D39" s="14">
        <v>688641.85</v>
      </c>
    </row>
    <row r="40" spans="3:4" x14ac:dyDescent="0.25">
      <c r="C40" s="11" t="s">
        <v>161</v>
      </c>
      <c r="D40" s="14">
        <v>455479.03999999998</v>
      </c>
    </row>
    <row r="41" spans="3:4" x14ac:dyDescent="0.25">
      <c r="C41" s="11" t="s">
        <v>162</v>
      </c>
      <c r="D41" s="14">
        <v>20404.71</v>
      </c>
    </row>
    <row r="42" spans="3:4" x14ac:dyDescent="0.25">
      <c r="C42" s="11" t="s">
        <v>163</v>
      </c>
      <c r="D42" s="14">
        <v>1352370.65</v>
      </c>
    </row>
    <row r="43" spans="3:4" x14ac:dyDescent="0.25">
      <c r="C43" s="11" t="s">
        <v>164</v>
      </c>
      <c r="D43" s="14">
        <v>4647149.58</v>
      </c>
    </row>
    <row r="44" spans="3:4" x14ac:dyDescent="0.25">
      <c r="C44" s="11" t="s">
        <v>165</v>
      </c>
      <c r="D44" s="14">
        <v>5513227.5</v>
      </c>
    </row>
    <row r="45" spans="3:4" x14ac:dyDescent="0.25">
      <c r="C45" s="11" t="s">
        <v>166</v>
      </c>
      <c r="D45" s="14">
        <v>2003911.1199999999</v>
      </c>
    </row>
    <row r="46" spans="3:4" x14ac:dyDescent="0.25">
      <c r="C46" s="11" t="s">
        <v>167</v>
      </c>
      <c r="D46" s="14">
        <v>1059987.26</v>
      </c>
    </row>
    <row r="47" spans="3:4" x14ac:dyDescent="0.25">
      <c r="C47" s="11" t="s">
        <v>168</v>
      </c>
      <c r="D47" s="14">
        <v>1292409.45</v>
      </c>
    </row>
    <row r="48" spans="3:4" x14ac:dyDescent="0.25">
      <c r="C48" s="11" t="s">
        <v>169</v>
      </c>
      <c r="D48" s="14">
        <v>6279.09</v>
      </c>
    </row>
    <row r="49" spans="3:4" x14ac:dyDescent="0.25">
      <c r="C49" s="11" t="s">
        <v>170</v>
      </c>
      <c r="D49" s="14">
        <v>1904138.04</v>
      </c>
    </row>
    <row r="50" spans="3:4" x14ac:dyDescent="0.25">
      <c r="C50" s="11" t="s">
        <v>171</v>
      </c>
      <c r="D50" s="14">
        <v>648030.4</v>
      </c>
    </row>
    <row r="51" spans="3:4" x14ac:dyDescent="0.25">
      <c r="C51" s="11" t="s">
        <v>172</v>
      </c>
      <c r="D51" s="14">
        <v>197883.4</v>
      </c>
    </row>
    <row r="52" spans="3:4" x14ac:dyDescent="0.25">
      <c r="C52" s="11" t="s">
        <v>173</v>
      </c>
      <c r="D52" s="14">
        <v>414371.1</v>
      </c>
    </row>
    <row r="53" spans="3:4" x14ac:dyDescent="0.25">
      <c r="C53" s="11" t="s">
        <v>174</v>
      </c>
      <c r="D53" s="14">
        <v>568269.6</v>
      </c>
    </row>
    <row r="54" spans="3:4" x14ac:dyDescent="0.25">
      <c r="C54" s="11" t="s">
        <v>175</v>
      </c>
      <c r="D54" s="14">
        <v>600821.43999999994</v>
      </c>
    </row>
    <row r="55" spans="3:4" x14ac:dyDescent="0.25">
      <c r="C55" s="11" t="s">
        <v>176</v>
      </c>
      <c r="D55" s="14">
        <v>221117</v>
      </c>
    </row>
    <row r="56" spans="3:4" x14ac:dyDescent="0.25">
      <c r="C56" s="11" t="s">
        <v>177</v>
      </c>
      <c r="D56" s="14">
        <v>5876405.1999999993</v>
      </c>
    </row>
    <row r="57" spans="3:4" x14ac:dyDescent="0.25">
      <c r="C57" s="11" t="s">
        <v>178</v>
      </c>
      <c r="D57" s="14">
        <v>4493999.4799999995</v>
      </c>
    </row>
    <row r="58" spans="3:4" x14ac:dyDescent="0.25">
      <c r="C58" s="11" t="s">
        <v>179</v>
      </c>
      <c r="D58" s="14">
        <v>2914130.27</v>
      </c>
    </row>
    <row r="59" spans="3:4" x14ac:dyDescent="0.25">
      <c r="C59" s="11" t="s">
        <v>180</v>
      </c>
      <c r="D59" s="14">
        <v>7115008.6400000006</v>
      </c>
    </row>
    <row r="60" spans="3:4" x14ac:dyDescent="0.25">
      <c r="C60" s="11" t="s">
        <v>181</v>
      </c>
      <c r="D60" s="14">
        <v>246415.95</v>
      </c>
    </row>
    <row r="61" spans="3:4" x14ac:dyDescent="0.25">
      <c r="C61" s="11" t="s">
        <v>182</v>
      </c>
      <c r="D61" s="14">
        <v>3097864.77</v>
      </c>
    </row>
    <row r="62" spans="3:4" x14ac:dyDescent="0.25">
      <c r="C62" s="12" t="s">
        <v>129</v>
      </c>
      <c r="D62" s="15">
        <v>137348768.31000003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Records</vt:lpstr>
      <vt:lpstr>Pivot Tables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Elshlakany</cp:lastModifiedBy>
  <dcterms:modified xsi:type="dcterms:W3CDTF">2025-11-21T21:47:22Z</dcterms:modified>
</cp:coreProperties>
</file>